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352728\Desktop\INTC\"/>
    </mc:Choice>
  </mc:AlternateContent>
  <bookViews>
    <workbookView xWindow="0" yWindow="0" windowWidth="28800" windowHeight="12290" activeTab="9"/>
  </bookViews>
  <sheets>
    <sheet name="Cover" sheetId="1" r:id="rId1"/>
    <sheet name="Key_Summary" sheetId="2" r:id="rId2"/>
    <sheet name="Assumptions" sheetId="3" r:id="rId3"/>
    <sheet name="Growth_Drivers" sheetId="4" r:id="rId4"/>
    <sheet name="Segment_Revenue" sheetId="5" r:id="rId5"/>
    <sheet name="Segment_PL" sheetId="6" r:id="rId6"/>
    <sheet name="Consolidated_PL" sheetId="7" r:id="rId7"/>
    <sheet name="BS" sheetId="8" r:id="rId8"/>
    <sheet name="Cash_Flow" sheetId="9" r:id="rId9"/>
    <sheet name="DCF" sheetId="10" r:id="rId10"/>
    <sheet name="Sensitivity" sheetId="11" r:id="rId11"/>
    <sheet name="Ratio_Analysis" sheetId="12" r:id="rId12"/>
  </sheets>
  <calcPr calcId="162913" iterate="1"/>
</workbook>
</file>

<file path=xl/calcChain.xml><?xml version="1.0" encoding="utf-8"?>
<calcChain xmlns="http://schemas.openxmlformats.org/spreadsheetml/2006/main">
  <c r="H25" i="10" l="1"/>
  <c r="I16" i="3"/>
  <c r="I13" i="3"/>
  <c r="I18" i="3"/>
  <c r="D45" i="12"/>
  <c r="D42" i="12"/>
  <c r="D33" i="12"/>
  <c r="C33" i="12"/>
  <c r="D25" i="12"/>
  <c r="C25" i="12"/>
  <c r="B25" i="12"/>
  <c r="D24" i="12"/>
  <c r="C24" i="12"/>
  <c r="B24" i="12"/>
  <c r="D23" i="12"/>
  <c r="C23" i="12"/>
  <c r="B23" i="12"/>
  <c r="D22" i="12"/>
  <c r="C22" i="12"/>
  <c r="D19" i="12"/>
  <c r="C19" i="12"/>
  <c r="B19" i="12"/>
  <c r="D18" i="12"/>
  <c r="C18" i="12"/>
  <c r="D17" i="12"/>
  <c r="C17" i="12"/>
  <c r="B17" i="12"/>
  <c r="D16" i="12"/>
  <c r="C16" i="12"/>
  <c r="B16" i="12"/>
  <c r="C15" i="12"/>
  <c r="B15" i="12"/>
  <c r="H30" i="10"/>
  <c r="F9" i="10"/>
  <c r="D8" i="10"/>
  <c r="C8" i="10"/>
  <c r="B8" i="10"/>
  <c r="D36" i="9"/>
  <c r="C36" i="9"/>
  <c r="B36" i="9"/>
  <c r="H34" i="9"/>
  <c r="G34" i="9"/>
  <c r="F34" i="9"/>
  <c r="H33" i="9"/>
  <c r="G33" i="9"/>
  <c r="F27" i="9"/>
  <c r="D27" i="9"/>
  <c r="C27" i="9"/>
  <c r="B27" i="9"/>
  <c r="F24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8" i="9"/>
  <c r="C8" i="9"/>
  <c r="B8" i="9"/>
  <c r="D7" i="9"/>
  <c r="C7" i="9"/>
  <c r="B7" i="9"/>
  <c r="D45" i="8"/>
  <c r="C45" i="8"/>
  <c r="C47" i="8" s="1"/>
  <c r="B45" i="8"/>
  <c r="B47" i="8" s="1"/>
  <c r="D42" i="8"/>
  <c r="D29" i="2" s="1"/>
  <c r="C42" i="8"/>
  <c r="B42" i="8"/>
  <c r="D37" i="8"/>
  <c r="D36" i="8"/>
  <c r="C36" i="8"/>
  <c r="C37" i="8" s="1"/>
  <c r="C43" i="8" s="1"/>
  <c r="C46" i="8" s="1"/>
  <c r="B36" i="8"/>
  <c r="B37" i="8" s="1"/>
  <c r="B43" i="8" s="1"/>
  <c r="B46" i="8" s="1"/>
  <c r="H34" i="8"/>
  <c r="G34" i="8"/>
  <c r="D31" i="8"/>
  <c r="C31" i="8"/>
  <c r="B31" i="8"/>
  <c r="D21" i="8"/>
  <c r="C21" i="8"/>
  <c r="C28" i="2" s="1"/>
  <c r="B21" i="8"/>
  <c r="B22" i="12" s="1"/>
  <c r="D20" i="8"/>
  <c r="C20" i="8"/>
  <c r="B20" i="8"/>
  <c r="G18" i="8"/>
  <c r="H18" i="8" s="1"/>
  <c r="F18" i="8"/>
  <c r="D12" i="8"/>
  <c r="C12" i="8"/>
  <c r="B12" i="8"/>
  <c r="G36" i="7"/>
  <c r="F36" i="7"/>
  <c r="F32" i="7"/>
  <c r="F8" i="10" s="1"/>
  <c r="G28" i="7"/>
  <c r="F28" i="7"/>
  <c r="F41" i="8" s="1"/>
  <c r="G41" i="8" s="1"/>
  <c r="H41" i="8" s="1"/>
  <c r="H32" i="10" s="1"/>
  <c r="H46" i="10" s="1"/>
  <c r="D14" i="7"/>
  <c r="C14" i="7"/>
  <c r="B14" i="7"/>
  <c r="H13" i="7"/>
  <c r="G13" i="7"/>
  <c r="F13" i="7"/>
  <c r="D8" i="7"/>
  <c r="D6" i="12" s="1"/>
  <c r="C8" i="7"/>
  <c r="C6" i="12" s="1"/>
  <c r="B8" i="7"/>
  <c r="B6" i="12" s="1"/>
  <c r="D5" i="7"/>
  <c r="C5" i="7"/>
  <c r="B5" i="7"/>
  <c r="D22" i="6"/>
  <c r="D25" i="6" s="1"/>
  <c r="C22" i="6"/>
  <c r="C25" i="6" s="1"/>
  <c r="B22" i="6"/>
  <c r="H21" i="6"/>
  <c r="G21" i="6"/>
  <c r="F21" i="6"/>
  <c r="C19" i="6"/>
  <c r="B19" i="6"/>
  <c r="D17" i="6"/>
  <c r="D19" i="6" s="1"/>
  <c r="C17" i="6"/>
  <c r="B17" i="6"/>
  <c r="D15" i="6"/>
  <c r="D13" i="6"/>
  <c r="C13" i="6"/>
  <c r="C15" i="6" s="1"/>
  <c r="B13" i="6"/>
  <c r="B15" i="6" s="1"/>
  <c r="D9" i="6"/>
  <c r="D11" i="6" s="1"/>
  <c r="C9" i="6"/>
  <c r="C11" i="6" s="1"/>
  <c r="B9" i="6"/>
  <c r="B11" i="6" s="1"/>
  <c r="D5" i="6"/>
  <c r="D7" i="6" s="1"/>
  <c r="C5" i="6"/>
  <c r="C7" i="6" s="1"/>
  <c r="B5" i="6"/>
  <c r="B7" i="6" s="1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G20" i="5"/>
  <c r="F20" i="5"/>
  <c r="D17" i="5"/>
  <c r="D27" i="5" s="1"/>
  <c r="C17" i="5"/>
  <c r="B17" i="5"/>
  <c r="D15" i="5"/>
  <c r="C15" i="5"/>
  <c r="D12" i="5"/>
  <c r="C12" i="5"/>
  <c r="D9" i="5"/>
  <c r="C9" i="5"/>
  <c r="D6" i="5"/>
  <c r="C6" i="5"/>
  <c r="F72" i="4"/>
  <c r="D49" i="4"/>
  <c r="B48" i="4"/>
  <c r="B49" i="4" s="1"/>
  <c r="H47" i="4"/>
  <c r="H48" i="4" s="1"/>
  <c r="H49" i="4" s="1"/>
  <c r="D47" i="4"/>
  <c r="C47" i="4"/>
  <c r="B47" i="4"/>
  <c r="B46" i="4"/>
  <c r="H45" i="4"/>
  <c r="G45" i="4"/>
  <c r="F45" i="4"/>
  <c r="F73" i="4" s="1"/>
  <c r="H44" i="4"/>
  <c r="H46" i="4" s="1"/>
  <c r="H14" i="5" s="1"/>
  <c r="F44" i="4"/>
  <c r="F46" i="4" s="1"/>
  <c r="D44" i="4"/>
  <c r="D46" i="4" s="1"/>
  <c r="D48" i="4" s="1"/>
  <c r="C44" i="4"/>
  <c r="C46" i="4" s="1"/>
  <c r="B44" i="4"/>
  <c r="F43" i="4"/>
  <c r="H42" i="4"/>
  <c r="D36" i="4"/>
  <c r="C36" i="4"/>
  <c r="B36" i="4"/>
  <c r="F34" i="4"/>
  <c r="F68" i="4" s="1"/>
  <c r="G32" i="4"/>
  <c r="F32" i="4"/>
  <c r="F67" i="4" s="1"/>
  <c r="D25" i="4"/>
  <c r="D26" i="4" s="1"/>
  <c r="D27" i="4" s="1"/>
  <c r="C25" i="4"/>
  <c r="B25" i="4"/>
  <c r="F23" i="4"/>
  <c r="F63" i="4" s="1"/>
  <c r="D22" i="4"/>
  <c r="D24" i="4" s="1"/>
  <c r="C22" i="4"/>
  <c r="C24" i="4" s="1"/>
  <c r="B22" i="4"/>
  <c r="B24" i="4" s="1"/>
  <c r="B26" i="4" s="1"/>
  <c r="B27" i="4" s="1"/>
  <c r="D20" i="4"/>
  <c r="C20" i="4"/>
  <c r="B20" i="4"/>
  <c r="H19" i="4"/>
  <c r="G19" i="4"/>
  <c r="F19" i="4"/>
  <c r="F61" i="4" s="1"/>
  <c r="H18" i="4"/>
  <c r="H20" i="4" s="1"/>
  <c r="H22" i="4" s="1"/>
  <c r="H24" i="4" s="1"/>
  <c r="D12" i="4"/>
  <c r="C12" i="4"/>
  <c r="B12" i="4"/>
  <c r="D9" i="4"/>
  <c r="D31" i="4" s="1"/>
  <c r="D33" i="4" s="1"/>
  <c r="D35" i="4" s="1"/>
  <c r="D37" i="4" s="1"/>
  <c r="D38" i="4" s="1"/>
  <c r="C9" i="4"/>
  <c r="B9" i="4"/>
  <c r="H8" i="4"/>
  <c r="F7" i="4"/>
  <c r="I188" i="3"/>
  <c r="H20" i="5" s="1"/>
  <c r="I186" i="3"/>
  <c r="I185" i="3"/>
  <c r="G19" i="5" s="1"/>
  <c r="I184" i="3"/>
  <c r="F19" i="5" s="1"/>
  <c r="I181" i="3"/>
  <c r="I180" i="3"/>
  <c r="I179" i="3"/>
  <c r="I176" i="3"/>
  <c r="H43" i="4" s="1"/>
  <c r="I175" i="3"/>
  <c r="G43" i="4" s="1"/>
  <c r="I174" i="3"/>
  <c r="I171" i="3"/>
  <c r="I170" i="3"/>
  <c r="G42" i="4" s="1"/>
  <c r="G44" i="4" s="1"/>
  <c r="G46" i="4" s="1"/>
  <c r="I169" i="3"/>
  <c r="F42" i="4" s="1"/>
  <c r="I165" i="3"/>
  <c r="H32" i="4" s="1"/>
  <c r="I164" i="3"/>
  <c r="I163" i="3"/>
  <c r="I158" i="3"/>
  <c r="I157" i="3"/>
  <c r="I156" i="3"/>
  <c r="I153" i="3"/>
  <c r="H28" i="7" s="1"/>
  <c r="I152" i="3"/>
  <c r="I151" i="3"/>
  <c r="I149" i="3"/>
  <c r="H22" i="7" s="1"/>
  <c r="I148" i="3"/>
  <c r="G22" i="7" s="1"/>
  <c r="I147" i="3"/>
  <c r="F22" i="7" s="1"/>
  <c r="I145" i="3"/>
  <c r="I144" i="3"/>
  <c r="I143" i="3"/>
  <c r="I140" i="3"/>
  <c r="F33" i="9" s="1"/>
  <c r="I139" i="3"/>
  <c r="I137" i="3"/>
  <c r="H34" i="7" s="1"/>
  <c r="H34" i="10" s="1"/>
  <c r="I136" i="3"/>
  <c r="G34" i="7" s="1"/>
  <c r="I135" i="3"/>
  <c r="F34" i="7" s="1"/>
  <c r="I133" i="3"/>
  <c r="H32" i="9" s="1"/>
  <c r="H36" i="9" s="1"/>
  <c r="I132" i="3"/>
  <c r="I131" i="3"/>
  <c r="F32" i="9" s="1"/>
  <c r="F36" i="9" s="1"/>
  <c r="I128" i="3"/>
  <c r="I127" i="3"/>
  <c r="I126" i="3"/>
  <c r="I123" i="3"/>
  <c r="I122" i="3"/>
  <c r="I121" i="3"/>
  <c r="I120" i="3"/>
  <c r="I119" i="3"/>
  <c r="I118" i="3"/>
  <c r="I117" i="3"/>
  <c r="I114" i="3"/>
  <c r="I113" i="3"/>
  <c r="I111" i="3"/>
  <c r="H32" i="7" s="1"/>
  <c r="H7" i="9" s="1"/>
  <c r="I110" i="3"/>
  <c r="G32" i="7" s="1"/>
  <c r="G7" i="9" s="1"/>
  <c r="I109" i="3"/>
  <c r="I106" i="3"/>
  <c r="I105" i="3"/>
  <c r="I104" i="3"/>
  <c r="I102" i="3"/>
  <c r="I101" i="3"/>
  <c r="I100" i="3"/>
  <c r="I98" i="3"/>
  <c r="I97" i="3"/>
  <c r="I96" i="3"/>
  <c r="I93" i="3"/>
  <c r="I92" i="3"/>
  <c r="I91" i="3"/>
  <c r="I89" i="3"/>
  <c r="I88" i="3"/>
  <c r="I87" i="3"/>
  <c r="I85" i="3"/>
  <c r="I84" i="3"/>
  <c r="I83" i="3"/>
  <c r="I81" i="3"/>
  <c r="I80" i="3"/>
  <c r="I79" i="3"/>
  <c r="I77" i="3"/>
  <c r="H23" i="4" s="1"/>
  <c r="I76" i="3"/>
  <c r="G23" i="4" s="1"/>
  <c r="I75" i="3"/>
  <c r="I72" i="3"/>
  <c r="H21" i="4" s="1"/>
  <c r="I71" i="3"/>
  <c r="G21" i="4" s="1"/>
  <c r="I70" i="3"/>
  <c r="F21" i="4" s="1"/>
  <c r="F62" i="4" s="1"/>
  <c r="I67" i="3"/>
  <c r="I66" i="3"/>
  <c r="I65" i="3"/>
  <c r="I62" i="3"/>
  <c r="I61" i="3"/>
  <c r="G18" i="4" s="1"/>
  <c r="G20" i="4" s="1"/>
  <c r="G22" i="4" s="1"/>
  <c r="G24" i="4" s="1"/>
  <c r="I60" i="3"/>
  <c r="F18" i="4" s="1"/>
  <c r="F60" i="4" s="1"/>
  <c r="I56" i="3"/>
  <c r="H10" i="4" s="1"/>
  <c r="I55" i="3"/>
  <c r="G10" i="4" s="1"/>
  <c r="I54" i="3"/>
  <c r="F10" i="4" s="1"/>
  <c r="F57" i="4" s="1"/>
  <c r="I51" i="3"/>
  <c r="I50" i="3"/>
  <c r="G8" i="4" s="1"/>
  <c r="I49" i="3"/>
  <c r="F8" i="4" s="1"/>
  <c r="F56" i="4" s="1"/>
  <c r="I46" i="3"/>
  <c r="H7" i="4" s="1"/>
  <c r="I45" i="3"/>
  <c r="G7" i="4" s="1"/>
  <c r="G9" i="4" s="1"/>
  <c r="G31" i="4" s="1"/>
  <c r="G33" i="4" s="1"/>
  <c r="I44" i="3"/>
  <c r="I39" i="3"/>
  <c r="I38" i="3"/>
  <c r="I37" i="3"/>
  <c r="I35" i="3"/>
  <c r="I34" i="3"/>
  <c r="I33" i="3"/>
  <c r="I31" i="3"/>
  <c r="I30" i="3"/>
  <c r="I29" i="3"/>
  <c r="I27" i="3"/>
  <c r="I26" i="3"/>
  <c r="I25" i="3"/>
  <c r="H16" i="3"/>
  <c r="G16" i="3"/>
  <c r="F16" i="3"/>
  <c r="B16" i="3"/>
  <c r="I12" i="3"/>
  <c r="I11" i="3"/>
  <c r="I10" i="3"/>
  <c r="I17" i="3" s="1"/>
  <c r="I9" i="3"/>
  <c r="I8" i="3"/>
  <c r="I7" i="3"/>
  <c r="D32" i="2"/>
  <c r="C32" i="2"/>
  <c r="B32" i="2"/>
  <c r="D31" i="2"/>
  <c r="C31" i="2"/>
  <c r="B31" i="2"/>
  <c r="D30" i="2"/>
  <c r="C30" i="2"/>
  <c r="B30" i="2"/>
  <c r="C29" i="2"/>
  <c r="B29" i="2"/>
  <c r="D28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H16" i="2"/>
  <c r="G16" i="2"/>
  <c r="F16" i="2"/>
  <c r="D16" i="2"/>
  <c r="C16" i="2"/>
  <c r="B16" i="2"/>
  <c r="D10" i="2"/>
  <c r="C10" i="2"/>
  <c r="D9" i="2"/>
  <c r="C9" i="2"/>
  <c r="B9" i="2"/>
  <c r="D8" i="2"/>
  <c r="C8" i="2"/>
  <c r="B7" i="2"/>
  <c r="B3" i="2"/>
  <c r="G25" i="4" l="1"/>
  <c r="G8" i="5"/>
  <c r="G26" i="4"/>
  <c r="G27" i="4" s="1"/>
  <c r="G14" i="5"/>
  <c r="G47" i="4"/>
  <c r="G48" i="4" s="1"/>
  <c r="G49" i="4" s="1"/>
  <c r="H71" i="4"/>
  <c r="I71" i="4" s="1"/>
  <c r="B25" i="6"/>
  <c r="B17" i="7"/>
  <c r="H24" i="2"/>
  <c r="H17" i="6"/>
  <c r="H18" i="6" s="1"/>
  <c r="H19" i="6" s="1"/>
  <c r="H33" i="7"/>
  <c r="H8" i="9" s="1"/>
  <c r="F33" i="7"/>
  <c r="F8" i="9" s="1"/>
  <c r="G33" i="7"/>
  <c r="G8" i="9" s="1"/>
  <c r="H56" i="4"/>
  <c r="F55" i="4"/>
  <c r="F9" i="4"/>
  <c r="G32" i="9"/>
  <c r="G36" i="9" s="1"/>
  <c r="H25" i="4"/>
  <c r="H8" i="5"/>
  <c r="H26" i="4"/>
  <c r="H27" i="4" s="1"/>
  <c r="F34" i="8"/>
  <c r="G36" i="8"/>
  <c r="G31" i="2"/>
  <c r="H9" i="4"/>
  <c r="G11" i="4"/>
  <c r="F47" i="4"/>
  <c r="F48" i="4" s="1"/>
  <c r="F49" i="4" s="1"/>
  <c r="I73" i="4"/>
  <c r="D47" i="8"/>
  <c r="H17" i="10"/>
  <c r="H39" i="10"/>
  <c r="G9" i="10"/>
  <c r="G24" i="9"/>
  <c r="H19" i="5"/>
  <c r="H34" i="4"/>
  <c r="C26" i="4"/>
  <c r="C27" i="4" s="1"/>
  <c r="G8" i="10"/>
  <c r="H61" i="4"/>
  <c r="F20" i="4"/>
  <c r="B31" i="4"/>
  <c r="B33" i="4" s="1"/>
  <c r="B35" i="4" s="1"/>
  <c r="B37" i="4" s="1"/>
  <c r="B38" i="4" s="1"/>
  <c r="B11" i="4"/>
  <c r="B13" i="4" s="1"/>
  <c r="B14" i="4" s="1"/>
  <c r="H24" i="9"/>
  <c r="H9" i="10"/>
  <c r="F71" i="4"/>
  <c r="H72" i="4"/>
  <c r="I72" i="4" s="1"/>
  <c r="F14" i="5"/>
  <c r="H8" i="10"/>
  <c r="F7" i="9"/>
  <c r="B28" i="2"/>
  <c r="G34" i="4"/>
  <c r="G35" i="4" s="1"/>
  <c r="C25" i="9"/>
  <c r="C7" i="2"/>
  <c r="H36" i="8"/>
  <c r="H31" i="2"/>
  <c r="H31" i="10"/>
  <c r="H45" i="10" s="1"/>
  <c r="C31" i="4"/>
  <c r="C33" i="4" s="1"/>
  <c r="C35" i="4" s="1"/>
  <c r="C37" i="4" s="1"/>
  <c r="C38" i="4" s="1"/>
  <c r="C11" i="4"/>
  <c r="C13" i="4" s="1"/>
  <c r="C14" i="4" s="1"/>
  <c r="C17" i="7"/>
  <c r="F58" i="12"/>
  <c r="H36" i="7"/>
  <c r="B18" i="12"/>
  <c r="B25" i="9"/>
  <c r="D17" i="7"/>
  <c r="F15" i="8"/>
  <c r="F19" i="12"/>
  <c r="D48" i="12"/>
  <c r="B10" i="2"/>
  <c r="C48" i="4"/>
  <c r="C49" i="4" s="1"/>
  <c r="D43" i="12"/>
  <c r="D25" i="9"/>
  <c r="D15" i="12"/>
  <c r="D7" i="2"/>
  <c r="D43" i="8"/>
  <c r="D46" i="8" s="1"/>
  <c r="D11" i="4"/>
  <c r="D13" i="4" s="1"/>
  <c r="D14" i="4" s="1"/>
  <c r="G11" i="5" l="1"/>
  <c r="G36" i="4"/>
  <c r="G37" i="4" s="1"/>
  <c r="G38" i="4" s="1"/>
  <c r="H31" i="4"/>
  <c r="H33" i="4" s="1"/>
  <c r="H35" i="4" s="1"/>
  <c r="H11" i="4"/>
  <c r="F15" i="5"/>
  <c r="F17" i="6"/>
  <c r="F18" i="6" s="1"/>
  <c r="F19" i="6" s="1"/>
  <c r="F24" i="2"/>
  <c r="G19" i="12"/>
  <c r="G27" i="9"/>
  <c r="H9" i="5"/>
  <c r="H9" i="6"/>
  <c r="H10" i="6" s="1"/>
  <c r="H11" i="6" s="1"/>
  <c r="H22" i="2"/>
  <c r="G12" i="10"/>
  <c r="H38" i="10"/>
  <c r="F12" i="10"/>
  <c r="H12" i="10"/>
  <c r="G5" i="5"/>
  <c r="G12" i="4"/>
  <c r="G13" i="4"/>
  <c r="G14" i="4" s="1"/>
  <c r="G17" i="6"/>
  <c r="G18" i="6" s="1"/>
  <c r="G19" i="6" s="1"/>
  <c r="G15" i="5"/>
  <c r="G24" i="2"/>
  <c r="D44" i="12"/>
  <c r="D24" i="7"/>
  <c r="D26" i="7" s="1"/>
  <c r="D7" i="12"/>
  <c r="D5" i="10"/>
  <c r="D7" i="10" s="1"/>
  <c r="D11" i="10" s="1"/>
  <c r="D18" i="7"/>
  <c r="D17" i="2"/>
  <c r="D11" i="2"/>
  <c r="D11" i="12"/>
  <c r="D12" i="2"/>
  <c r="D19" i="7"/>
  <c r="D12" i="12"/>
  <c r="D26" i="6"/>
  <c r="D27" i="6" s="1"/>
  <c r="H15" i="5"/>
  <c r="G9" i="6"/>
  <c r="G10" i="6" s="1"/>
  <c r="G11" i="6" s="1"/>
  <c r="G22" i="2"/>
  <c r="H19" i="12"/>
  <c r="H27" i="9"/>
  <c r="B12" i="12"/>
  <c r="B24" i="7"/>
  <c r="B26" i="7" s="1"/>
  <c r="B7" i="12"/>
  <c r="B12" i="2"/>
  <c r="B11" i="12"/>
  <c r="B26" i="6"/>
  <c r="B27" i="6" s="1"/>
  <c r="B18" i="7"/>
  <c r="B5" i="10"/>
  <c r="B7" i="10" s="1"/>
  <c r="B11" i="10" s="1"/>
  <c r="B17" i="2"/>
  <c r="B11" i="2"/>
  <c r="B19" i="7"/>
  <c r="C24" i="7"/>
  <c r="C26" i="7" s="1"/>
  <c r="C7" i="12"/>
  <c r="C12" i="2"/>
  <c r="C17" i="2"/>
  <c r="C11" i="2"/>
  <c r="C26" i="6"/>
  <c r="C27" i="6" s="1"/>
  <c r="C19" i="7"/>
  <c r="C5" i="10"/>
  <c r="C7" i="10" s="1"/>
  <c r="C11" i="10" s="1"/>
  <c r="C12" i="12"/>
  <c r="C11" i="12"/>
  <c r="C18" i="7"/>
  <c r="H62" i="4"/>
  <c r="F22" i="4"/>
  <c r="F11" i="4"/>
  <c r="I56" i="4" s="1"/>
  <c r="F31" i="4"/>
  <c r="H57" i="4"/>
  <c r="I57" i="4" s="1"/>
  <c r="F20" i="8"/>
  <c r="G15" i="8"/>
  <c r="F36" i="8"/>
  <c r="F31" i="2"/>
  <c r="D29" i="7" l="1"/>
  <c r="D6" i="9"/>
  <c r="D21" i="9" s="1"/>
  <c r="D10" i="12"/>
  <c r="D27" i="7"/>
  <c r="D8" i="12"/>
  <c r="D34" i="2"/>
  <c r="F33" i="4"/>
  <c r="F66" i="4"/>
  <c r="H67" i="4"/>
  <c r="H5" i="5"/>
  <c r="H12" i="4"/>
  <c r="H13" i="4"/>
  <c r="H14" i="4" s="1"/>
  <c r="F24" i="4"/>
  <c r="H60" i="4"/>
  <c r="I60" i="4" s="1"/>
  <c r="B10" i="12"/>
  <c r="B8" i="12"/>
  <c r="B29" i="7"/>
  <c r="B34" i="2"/>
  <c r="B27" i="7"/>
  <c r="B6" i="9"/>
  <c r="B21" i="9" s="1"/>
  <c r="H11" i="5"/>
  <c r="H36" i="4"/>
  <c r="H37" i="4" s="1"/>
  <c r="H38" i="4" s="1"/>
  <c r="I62" i="4"/>
  <c r="G13" i="6"/>
  <c r="G14" i="6" s="1"/>
  <c r="G15" i="6" s="1"/>
  <c r="G23" i="2"/>
  <c r="G21" i="2"/>
  <c r="G5" i="6"/>
  <c r="G6" i="6" s="1"/>
  <c r="G21" i="5"/>
  <c r="G23" i="5" s="1"/>
  <c r="G6" i="5"/>
  <c r="G17" i="5"/>
  <c r="G27" i="5" s="1"/>
  <c r="H15" i="8"/>
  <c r="H20" i="8" s="1"/>
  <c r="G20" i="8"/>
  <c r="H55" i="4"/>
  <c r="I55" i="4" s="1"/>
  <c r="F12" i="4"/>
  <c r="F5" i="5"/>
  <c r="F13" i="4"/>
  <c r="F14" i="4" s="1"/>
  <c r="C29" i="7"/>
  <c r="C34" i="2"/>
  <c r="C10" i="12"/>
  <c r="C27" i="7"/>
  <c r="C8" i="12"/>
  <c r="C6" i="9"/>
  <c r="C21" i="9" s="1"/>
  <c r="H13" i="6" l="1"/>
  <c r="H14" i="6" s="1"/>
  <c r="H15" i="6" s="1"/>
  <c r="H23" i="2"/>
  <c r="H12" i="5"/>
  <c r="I67" i="4"/>
  <c r="F21" i="2"/>
  <c r="F5" i="6"/>
  <c r="F6" i="6" s="1"/>
  <c r="F21" i="5"/>
  <c r="F23" i="5" s="1"/>
  <c r="F6" i="5"/>
  <c r="C28" i="9"/>
  <c r="C37" i="9"/>
  <c r="C28" i="12"/>
  <c r="H21" i="2"/>
  <c r="H17" i="5"/>
  <c r="H27" i="5" s="1"/>
  <c r="H5" i="6"/>
  <c r="H6" i="6" s="1"/>
  <c r="H21" i="5"/>
  <c r="H6" i="5"/>
  <c r="B28" i="12"/>
  <c r="B37" i="9"/>
  <c r="B28" i="9"/>
  <c r="H66" i="4"/>
  <c r="I66" i="4" s="1"/>
  <c r="F35" i="4"/>
  <c r="D28" i="9"/>
  <c r="D28" i="12"/>
  <c r="D46" i="12"/>
  <c r="D37" i="9"/>
  <c r="G25" i="2"/>
  <c r="G5" i="7"/>
  <c r="G26" i="5"/>
  <c r="G24" i="5"/>
  <c r="G25" i="5"/>
  <c r="G22" i="6"/>
  <c r="G7" i="6"/>
  <c r="C34" i="12"/>
  <c r="C35" i="7"/>
  <c r="C9" i="12"/>
  <c r="C33" i="2"/>
  <c r="C14" i="2"/>
  <c r="C13" i="2"/>
  <c r="B35" i="7"/>
  <c r="B15" i="2" s="1"/>
  <c r="B33" i="2"/>
  <c r="B9" i="12"/>
  <c r="B14" i="2"/>
  <c r="B13" i="2"/>
  <c r="I63" i="4"/>
  <c r="F25" i="4"/>
  <c r="F26" i="4" s="1"/>
  <c r="F27" i="4" s="1"/>
  <c r="F8" i="5"/>
  <c r="I61" i="4"/>
  <c r="D34" i="12"/>
  <c r="D9" i="12"/>
  <c r="D33" i="2"/>
  <c r="D13" i="2"/>
  <c r="D35" i="7"/>
  <c r="D14" i="2"/>
  <c r="G17" i="7" l="1"/>
  <c r="G25" i="6"/>
  <c r="F7" i="6"/>
  <c r="H25" i="2"/>
  <c r="H5" i="7"/>
  <c r="H25" i="5"/>
  <c r="H24" i="5"/>
  <c r="H26" i="5"/>
  <c r="H23" i="5"/>
  <c r="C29" i="9"/>
  <c r="C18" i="2"/>
  <c r="C30" i="12"/>
  <c r="C29" i="12"/>
  <c r="B30" i="12"/>
  <c r="B29" i="9"/>
  <c r="B18" i="2"/>
  <c r="B29" i="12"/>
  <c r="D41" i="12"/>
  <c r="D15" i="2"/>
  <c r="D47" i="12"/>
  <c r="D35" i="12"/>
  <c r="F25" i="2"/>
  <c r="F5" i="7"/>
  <c r="F26" i="5"/>
  <c r="F25" i="5"/>
  <c r="D29" i="12"/>
  <c r="D18" i="2"/>
  <c r="D29" i="9"/>
  <c r="D30" i="12"/>
  <c r="G7" i="2"/>
  <c r="G11" i="7"/>
  <c r="G6" i="7"/>
  <c r="G29" i="8"/>
  <c r="G12" i="7"/>
  <c r="G30" i="8"/>
  <c r="G9" i="8"/>
  <c r="G11" i="8"/>
  <c r="G27" i="8"/>
  <c r="G18" i="12"/>
  <c r="G25" i="9"/>
  <c r="H22" i="6"/>
  <c r="H7" i="6"/>
  <c r="F9" i="5"/>
  <c r="F9" i="6"/>
  <c r="F10" i="6" s="1"/>
  <c r="F11" i="6" s="1"/>
  <c r="F22" i="2"/>
  <c r="F24" i="5"/>
  <c r="G9" i="5"/>
  <c r="C15" i="2"/>
  <c r="C35" i="12"/>
  <c r="F11" i="5"/>
  <c r="I68" i="4"/>
  <c r="F36" i="4"/>
  <c r="F37" i="4"/>
  <c r="F38" i="4" s="1"/>
  <c r="G26" i="8" l="1"/>
  <c r="G10" i="8"/>
  <c r="G15" i="12"/>
  <c r="H17" i="7"/>
  <c r="H25" i="6"/>
  <c r="F13" i="6"/>
  <c r="F14" i="6" s="1"/>
  <c r="F15" i="6" s="1"/>
  <c r="F27" i="5"/>
  <c r="F23" i="2"/>
  <c r="F12" i="5"/>
  <c r="G12" i="5"/>
  <c r="F17" i="5"/>
  <c r="H11" i="7"/>
  <c r="H6" i="7"/>
  <c r="H10" i="10"/>
  <c r="H33" i="12"/>
  <c r="H30" i="8"/>
  <c r="H18" i="9" s="1"/>
  <c r="H11" i="8"/>
  <c r="H15" i="9" s="1"/>
  <c r="H12" i="7"/>
  <c r="H8" i="2"/>
  <c r="H29" i="8"/>
  <c r="H19" i="9" s="1"/>
  <c r="H9" i="8"/>
  <c r="H27" i="8"/>
  <c r="H17" i="9" s="1"/>
  <c r="H7" i="2"/>
  <c r="H18" i="12"/>
  <c r="H25" i="9"/>
  <c r="G7" i="7"/>
  <c r="G18" i="9"/>
  <c r="G27" i="6"/>
  <c r="F7" i="2"/>
  <c r="F33" i="12"/>
  <c r="F11" i="7"/>
  <c r="F14" i="7" s="1"/>
  <c r="F6" i="7"/>
  <c r="F53" i="12"/>
  <c r="F10" i="10"/>
  <c r="F30" i="8"/>
  <c r="F18" i="9" s="1"/>
  <c r="F9" i="8"/>
  <c r="G13" i="9" s="1"/>
  <c r="F12" i="7"/>
  <c r="F8" i="2"/>
  <c r="F7" i="7"/>
  <c r="F27" i="8"/>
  <c r="F17" i="9" s="1"/>
  <c r="F11" i="8"/>
  <c r="F15" i="9" s="1"/>
  <c r="F29" i="8"/>
  <c r="F19" i="9" s="1"/>
  <c r="F25" i="9"/>
  <c r="F18" i="12"/>
  <c r="G33" i="12"/>
  <c r="G14" i="7"/>
  <c r="G8" i="2"/>
  <c r="G10" i="10"/>
  <c r="G18" i="7"/>
  <c r="G17" i="2"/>
  <c r="G11" i="2"/>
  <c r="G11" i="12"/>
  <c r="G7" i="12"/>
  <c r="G5" i="10"/>
  <c r="G24" i="7"/>
  <c r="G12" i="2"/>
  <c r="G12" i="12"/>
  <c r="G26" i="6"/>
  <c r="H26" i="8" l="1"/>
  <c r="H10" i="8"/>
  <c r="G17" i="9"/>
  <c r="H7" i="7"/>
  <c r="G15" i="9"/>
  <c r="G6" i="10"/>
  <c r="G7" i="10" s="1"/>
  <c r="G11" i="10" s="1"/>
  <c r="G13" i="10" s="1"/>
  <c r="F9" i="2"/>
  <c r="F8" i="7"/>
  <c r="F6" i="12" s="1"/>
  <c r="F10" i="2"/>
  <c r="H27" i="6"/>
  <c r="G9" i="2"/>
  <c r="G19" i="7"/>
  <c r="G8" i="7"/>
  <c r="G6" i="12" s="1"/>
  <c r="G10" i="2"/>
  <c r="G19" i="9"/>
  <c r="F15" i="12"/>
  <c r="F13" i="9"/>
  <c r="F22" i="6"/>
  <c r="H14" i="7"/>
  <c r="G17" i="12"/>
  <c r="G14" i="9"/>
  <c r="H18" i="7"/>
  <c r="H17" i="2"/>
  <c r="H11" i="2"/>
  <c r="H11" i="12"/>
  <c r="H7" i="12"/>
  <c r="H5" i="10"/>
  <c r="H26" i="6"/>
  <c r="H12" i="2"/>
  <c r="H12" i="12"/>
  <c r="H24" i="7"/>
  <c r="G25" i="7"/>
  <c r="G26" i="7" s="1"/>
  <c r="F26" i="8"/>
  <c r="F10" i="8"/>
  <c r="H15" i="12"/>
  <c r="H13" i="9"/>
  <c r="G31" i="8"/>
  <c r="G37" i="8" s="1"/>
  <c r="G16" i="12"/>
  <c r="G6" i="9" l="1"/>
  <c r="G27" i="7"/>
  <c r="G29" i="7"/>
  <c r="G8" i="12"/>
  <c r="H25" i="7"/>
  <c r="H26" i="7" s="1"/>
  <c r="H6" i="10"/>
  <c r="H7" i="10" s="1"/>
  <c r="H11" i="10" s="1"/>
  <c r="F31" i="8"/>
  <c r="F37" i="8" s="1"/>
  <c r="F16" i="12"/>
  <c r="F16" i="9"/>
  <c r="G16" i="9"/>
  <c r="F17" i="7"/>
  <c r="F25" i="6"/>
  <c r="H9" i="2"/>
  <c r="H8" i="7"/>
  <c r="H6" i="12" s="1"/>
  <c r="H19" i="7"/>
  <c r="H10" i="2"/>
  <c r="H17" i="12"/>
  <c r="H14" i="9"/>
  <c r="F14" i="9"/>
  <c r="F17" i="12"/>
  <c r="H16" i="9"/>
  <c r="H16" i="12"/>
  <c r="H31" i="8"/>
  <c r="H37" i="8" s="1"/>
  <c r="H6" i="9" l="1"/>
  <c r="H21" i="9" s="1"/>
  <c r="H27" i="7"/>
  <c r="H8" i="12"/>
  <c r="H29" i="7"/>
  <c r="H18" i="10"/>
  <c r="H19" i="10" s="1"/>
  <c r="H23" i="10" s="1"/>
  <c r="H13" i="10"/>
  <c r="H16" i="10"/>
  <c r="G13" i="2"/>
  <c r="G14" i="2"/>
  <c r="G35" i="7"/>
  <c r="F27" i="6"/>
  <c r="F18" i="7"/>
  <c r="F17" i="2"/>
  <c r="F11" i="2"/>
  <c r="F11" i="12"/>
  <c r="F7" i="12"/>
  <c r="F5" i="10"/>
  <c r="F24" i="7"/>
  <c r="F12" i="12"/>
  <c r="F12" i="2"/>
  <c r="F26" i="6"/>
  <c r="F19" i="7"/>
  <c r="G21" i="9"/>
  <c r="F25" i="7" l="1"/>
  <c r="F26" i="7" s="1"/>
  <c r="G15" i="2"/>
  <c r="G37" i="9"/>
  <c r="G28" i="12"/>
  <c r="G28" i="9"/>
  <c r="H13" i="2"/>
  <c r="H34" i="12"/>
  <c r="H14" i="2"/>
  <c r="H35" i="7"/>
  <c r="F6" i="10"/>
  <c r="F7" i="10" s="1"/>
  <c r="F11" i="10" s="1"/>
  <c r="F13" i="10" s="1"/>
  <c r="H22" i="10" s="1"/>
  <c r="H41" i="10"/>
  <c r="H28" i="12"/>
  <c r="H28" i="9"/>
  <c r="H37" i="9"/>
  <c r="H24" i="10" l="1"/>
  <c r="H40" i="10"/>
  <c r="F6" i="9"/>
  <c r="F21" i="9" s="1"/>
  <c r="F27" i="7"/>
  <c r="F29" i="7"/>
  <c r="F8" i="12"/>
  <c r="G29" i="12"/>
  <c r="G29" i="9"/>
  <c r="G18" i="2"/>
  <c r="G30" i="12"/>
  <c r="H29" i="9"/>
  <c r="H29" i="12"/>
  <c r="H18" i="2"/>
  <c r="H30" i="12"/>
  <c r="H15" i="2"/>
  <c r="H35" i="12"/>
  <c r="F28" i="9" l="1"/>
  <c r="F56" i="12"/>
  <c r="F37" i="9"/>
  <c r="F28" i="12"/>
  <c r="F13" i="2"/>
  <c r="F14" i="2"/>
  <c r="F34" i="12"/>
  <c r="F35" i="7"/>
  <c r="F40" i="8"/>
  <c r="F9" i="12" s="1"/>
  <c r="G34" i="12"/>
  <c r="H28" i="10"/>
  <c r="H38" i="2"/>
  <c r="H43" i="10"/>
  <c r="H42" i="10"/>
  <c r="F57" i="12" l="1"/>
  <c r="F15" i="2"/>
  <c r="F51" i="12"/>
  <c r="F35" i="12"/>
  <c r="G35" i="12"/>
  <c r="F52" i="12"/>
  <c r="F42" i="8"/>
  <c r="G40" i="8"/>
  <c r="F23" i="12"/>
  <c r="F33" i="2"/>
  <c r="F29" i="12"/>
  <c r="F29" i="9"/>
  <c r="F18" i="2"/>
  <c r="F30" i="12"/>
  <c r="H40" i="8" l="1"/>
  <c r="G42" i="8"/>
  <c r="G23" i="12"/>
  <c r="G33" i="2"/>
  <c r="G9" i="12"/>
  <c r="F29" i="2"/>
  <c r="F43" i="8"/>
  <c r="F46" i="8" l="1"/>
  <c r="F7" i="8"/>
  <c r="G29" i="2"/>
  <c r="G43" i="8"/>
  <c r="H42" i="8"/>
  <c r="H23" i="12"/>
  <c r="H9" i="12"/>
  <c r="H33" i="2"/>
  <c r="H29" i="2" l="1"/>
  <c r="H43" i="8"/>
  <c r="G46" i="8"/>
  <c r="G7" i="8"/>
  <c r="F25" i="12"/>
  <c r="F30" i="2"/>
  <c r="F12" i="8"/>
  <c r="F32" i="2"/>
  <c r="F54" i="12"/>
  <c r="F55" i="12"/>
  <c r="G25" i="12" l="1"/>
  <c r="G30" i="2"/>
  <c r="G12" i="8"/>
  <c r="G32" i="2"/>
  <c r="F21" i="8"/>
  <c r="F24" i="12"/>
  <c r="F45" i="8"/>
  <c r="F47" i="8" s="1"/>
  <c r="H46" i="8"/>
  <c r="H7" i="8"/>
  <c r="G21" i="8" l="1"/>
  <c r="G45" i="8"/>
  <c r="G47" i="8" s="1"/>
  <c r="G24" i="12"/>
  <c r="H25" i="12"/>
  <c r="H30" i="2"/>
  <c r="H29" i="10"/>
  <c r="H12" i="8"/>
  <c r="H32" i="2"/>
  <c r="F28" i="2"/>
  <c r="F22" i="12"/>
  <c r="F10" i="12"/>
  <c r="F34" i="2"/>
  <c r="H21" i="8" l="1"/>
  <c r="H45" i="8"/>
  <c r="H47" i="8" s="1"/>
  <c r="H24" i="12"/>
  <c r="H44" i="10"/>
  <c r="H33" i="10"/>
  <c r="G28" i="2"/>
  <c r="G22" i="12"/>
  <c r="G10" i="12"/>
  <c r="G34" i="2"/>
  <c r="H35" i="10" l="1"/>
  <c r="H47" i="10"/>
  <c r="H39" i="2"/>
  <c r="H28" i="2"/>
  <c r="H22" i="12"/>
  <c r="H10" i="12"/>
  <c r="H34" i="2"/>
  <c r="H48" i="10" l="1"/>
  <c r="H37" i="2"/>
</calcChain>
</file>

<file path=xl/sharedStrings.xml><?xml version="1.0" encoding="utf-8"?>
<sst xmlns="http://schemas.openxmlformats.org/spreadsheetml/2006/main" count="1087" uniqueCount="835">
  <si>
    <t>Intel Corporation (NASDAQ: INTC)</t>
  </si>
  <si>
    <t>Investment Bank-Grade Financial Model</t>
  </si>
  <si>
    <t>Segment-Driven, Three-Statement Linked DCF</t>
  </si>
  <si>
    <t>Model Date: May 7, 2026 | Forecast Horizon: FY2026E - FY2028E</t>
  </si>
  <si>
    <t>Company</t>
  </si>
  <si>
    <t>Intel Corporation (INTC)</t>
  </si>
  <si>
    <t>Sector</t>
  </si>
  <si>
    <t>Semiconductors</t>
  </si>
  <si>
    <t>Headquarters</t>
  </si>
  <si>
    <t>Santa Clara, CA, USA</t>
  </si>
  <si>
    <t>Fiscal Year</t>
  </si>
  <si>
    <t>Ends last Saturday of December (52/53-week year)</t>
  </si>
  <si>
    <t>Reporting Segments</t>
  </si>
  <si>
    <t>CCG, DCAI, Intel Foundry, All Other (Mobileye + IMS + Other)</t>
  </si>
  <si>
    <t>Scenario Selector</t>
  </si>
  <si>
    <t>Assumptions tab, Cell B2 (Base / Bull / Bear)</t>
  </si>
  <si>
    <t>Model Architecture</t>
  </si>
  <si>
    <t>12 tabs: Cover -&gt; Key_Summary -&gt; Assumptions -&gt; Growth_Drivers -&gt; Segment_Revenue -&gt; Segment_PL -&gt; Consolidated_PL -&gt; BS -&gt; Cash_Flow -&gt; DCF -&gt; Sensitivity -&gt; Ratio_Analysis</t>
  </si>
  <si>
    <t>Key Data Sources</t>
  </si>
  <si>
    <t>Intel 10-K filings (FY2022-FY2025), Q1 2026 10-Q, Q1 2026 Earnings Call (Apr 23, 2026)</t>
  </si>
  <si>
    <t>Assumptions Date</t>
  </si>
  <si>
    <t>May 7, 2026 (intc_assumptions.md)</t>
  </si>
  <si>
    <t>Financial Data</t>
  </si>
  <si>
    <t>intc_financial_data.md (extracted from SEC filings)</t>
  </si>
  <si>
    <t>Segment Structure Note:</t>
  </si>
  <si>
    <t xml:space="preserve">  - Effective Q1 2025: NEX (Network &amp; Edge) integrated into CCG and DCAI; Altera deconsolidated Sep 12, 2025 (51% sold to SLP).</t>
  </si>
  <si>
    <t xml:space="preserve">  - FY2023-FY2025 segment data is RESTATED to current 4-segment structure per 2025 10-K Note 3.</t>
  </si>
  <si>
    <t xml:space="preserve">  - Historical data from old structure (with NEX) is available in 2024 10-K for reference but NOT used in this model.</t>
  </si>
  <si>
    <t xml:space="preserve">  - Mobileye remains consolidated (~77% Intel ownership). Q1 2026: $3.9B goodwill impairment at Mobileye.</t>
  </si>
  <si>
    <t xml:space="preserve">  - Ireland SCIP (Fab 34) 49% NCI bought out April 2026 (~$14.2B). Arizona SCIP 49% NCI remains.</t>
  </si>
  <si>
    <t>Usage Instructions:</t>
  </si>
  <si>
    <t>1. Select scenario in Assumptions tab cell B2 (Base / Bull / Bear). All tabs update automatically.</t>
  </si>
  <si>
    <t>2. Edit blue-fill cells in Assumptions tab to customize forecasts.</t>
  </si>
  <si>
    <t>3. Check yellow-highlighted cross-validation rows (Segment_PL, BS) — both must read 0 difference.</t>
  </si>
  <si>
    <t>4. DCF tab computes implied share price. Sensitivity tab provides WACC x g matrix.</t>
  </si>
  <si>
    <t>5. Key_Summary tab gives executive overview; Ratio_Analysis tab provides detailed metrics.</t>
  </si>
  <si>
    <t>6. All green-font cells are cross-sheet links (do not edit). Blue-font cells are historical data.</t>
  </si>
  <si>
    <t>DISCLAIMER:</t>
  </si>
  <si>
    <t>This model is for educational / analytical purposes only. It does not constitute investment advice.</t>
  </si>
  <si>
    <t>Forecasts are based on publicly available information and assumptions documented in intc_assumptions.md.</t>
  </si>
  <si>
    <t>Actual results may differ materially. Refer to Intel's SEC filings for official financial information.</t>
  </si>
  <si>
    <t>Model generated programmatically via Python openpyxl (build_intc_model.py).</t>
  </si>
  <si>
    <t>Intel (INTC) - Key Summary &amp; Executive Dashboard</t>
  </si>
  <si>
    <t>USD Million (except per-share data)</t>
  </si>
  <si>
    <t xml:space="preserve">Scenario: </t>
  </si>
  <si>
    <t>Key Performance Indicators</t>
  </si>
  <si>
    <t>2023A</t>
  </si>
  <si>
    <t>2024A</t>
  </si>
  <si>
    <t>2025A</t>
  </si>
  <si>
    <t>2026E</t>
  </si>
  <si>
    <t>2027E</t>
  </si>
  <si>
    <t>2028E</t>
  </si>
  <si>
    <t>Notes</t>
  </si>
  <si>
    <t xml:space="preserve">  Total Revenue ($M)</t>
  </si>
  <si>
    <t xml:space="preserve">    YoY Growth %</t>
  </si>
  <si>
    <t xml:space="preserve">  Gross Profit ($M)</t>
  </si>
  <si>
    <t xml:space="preserve">    Gross Margin %</t>
  </si>
  <si>
    <t xml:space="preserve">  EBIT ($M)</t>
  </si>
  <si>
    <t xml:space="preserve">    EBIT Margin %</t>
  </si>
  <si>
    <t xml:space="preserve">  Net Income to Intel ($M)</t>
  </si>
  <si>
    <t xml:space="preserve">    Net Margin %</t>
  </si>
  <si>
    <t xml:space="preserve">  Diluted EPS ($)</t>
  </si>
  <si>
    <t xml:space="preserve">  D&amp;A ($M)</t>
  </si>
  <si>
    <t xml:space="preserve">  EBITDA ($M)</t>
  </si>
  <si>
    <t xml:space="preserve">  FCF ($M)</t>
  </si>
  <si>
    <t>Revenue by Segment ($M)</t>
  </si>
  <si>
    <t xml:space="preserve">  CCG</t>
  </si>
  <si>
    <t xml:space="preserve">  DCAI</t>
  </si>
  <si>
    <t xml:space="preserve">  Intel Foundry</t>
  </si>
  <si>
    <t xml:space="preserve">  All Other</t>
  </si>
  <si>
    <t xml:space="preserve">  Total Consolidated</t>
  </si>
  <si>
    <t>Balance Sheet Highlights ($M)</t>
  </si>
  <si>
    <t xml:space="preserve">  Total Assets</t>
  </si>
  <si>
    <t xml:space="preserve">  Total Equity</t>
  </si>
  <si>
    <t xml:space="preserve">  Cash + Securities</t>
  </si>
  <si>
    <t xml:space="preserve">  Total Debt</t>
  </si>
  <si>
    <t xml:space="preserve">  Net Cash / (Debt)</t>
  </si>
  <si>
    <t xml:space="preserve">  ROE</t>
  </si>
  <si>
    <t xml:space="preserve">  ROA</t>
  </si>
  <si>
    <t>DCF Valuation Output</t>
  </si>
  <si>
    <t xml:space="preserve">  Implied Share Price ($)</t>
  </si>
  <si>
    <t>Base case DCF output. See Sensitivity tab for range.</t>
  </si>
  <si>
    <t xml:space="preserve">  Enterprise Value ($M)</t>
  </si>
  <si>
    <t xml:space="preserve">  Equity Value ($M)</t>
  </si>
  <si>
    <t>Investment Highlights</t>
  </si>
  <si>
    <t>1. CPU Renaissance: DCAI benefiting from AI inference shift toward CPUs (CPU:GPU ratio 1:8-&gt;1:1)</t>
  </si>
  <si>
    <t>2. 18A Ramp: Ahead of internal yield targets; volume up 6-7x in Q2 2026 vs Q1</t>
  </si>
  <si>
    <t>3. Foundry Losses Narrowing: -58% OPM (FY2025) -&gt; -22% (FY2028E Base) as 18A matures</t>
  </si>
  <si>
    <t>4. Gross Margin Recovery: 34.8% (FY2025) -&gt; 43.5% (FY2028E Base) driven by yield + pricing</t>
  </si>
  <si>
    <t>5. Supply Constraints Easing: Undershipping demand by ~$1B; tool spending up 25% to address</t>
  </si>
  <si>
    <t>6. Fab 34 Buyout: April 2026 ~$14.2B repurchase of Ireland SCIP stake; removes $135M/q NCI drag</t>
  </si>
  <si>
    <t>7. No Dividends: Suspended; priority is debt reduction and CapEx</t>
  </si>
  <si>
    <t>8. Warrant Overhang: 241M shares @ $20 strike if Foundry ownership &lt;51% (NOT in base case)</t>
  </si>
  <si>
    <t>Key Risks</t>
  </si>
  <si>
    <t>1. 18A yield improvement stalls; Foundry losses remain &gt;40% OPM through FY2028</t>
  </si>
  <si>
    <t>2. PC TAM declines &gt;15% (recession scenario); CCG revenue headwinds</t>
  </si>
  <si>
    <t>3. AMD Turin / ARM CPUs erode DCAI market position</t>
  </si>
  <si>
    <t>4. External foundry customers do not materialize; Intel remains captive fab</t>
  </si>
  <si>
    <t>5. Debt load (~$50B) constrains strategic flexibility if FCF remains negative</t>
  </si>
  <si>
    <t>6. Valuation allowance on US DTAs ($9.9B) means losses generate no tax benefit</t>
  </si>
  <si>
    <t>7. WACC sensitivity: each 1% change in WACC moves implied price ~$5-7</t>
  </si>
  <si>
    <t>DATA LEGEND</t>
  </si>
  <si>
    <t xml:space="preserve">  Blue font: Historical hardcoded data</t>
  </si>
  <si>
    <t xml:space="preserve">  Green font: Cross-sheet link</t>
  </si>
  <si>
    <t xml:space="preserve">  Blue fill + dark font: Editable assumption</t>
  </si>
  <si>
    <t xml:space="preserve">  Yellow fill: Key output row</t>
  </si>
  <si>
    <t xml:space="preserve">  Black font: Formula / calculated cell</t>
  </si>
  <si>
    <t xml:space="preserve">  Grey italic: Memo / percentage row</t>
  </si>
  <si>
    <t>DATA SOURCES</t>
  </si>
  <si>
    <t xml:space="preserve">  - 2022-2025 10-Ks: Consolidated P&amp;L, Balance Sheet, Cash Flow, Segment data</t>
  </si>
  <si>
    <t xml:space="preserve">  - 2026 Q1 10-Q: Q1 2026 vs Q1 2025 segment + consolidated data</t>
  </si>
  <si>
    <t xml:space="preserve">  - Q1 2026 Earnings Call (Apr 23, 2026): FY2026 management guidance</t>
  </si>
  <si>
    <t xml:space="preserve">  - intc_assumptions.md: All forecast assumptions with scenario narratives</t>
  </si>
  <si>
    <t xml:space="preserve">  - Bloomberg / Damodaran / FRED: WACC inputs (Rf, ERP, Beta) as of May 2026</t>
  </si>
  <si>
    <t>Intel (INTC) — Assumptions &amp; Scenario Design</t>
  </si>
  <si>
    <t>Scenario:</t>
  </si>
  <si>
    <t>Base</t>
  </si>
  <si>
    <t>Selected</t>
  </si>
  <si>
    <t>WACC Parameters</t>
  </si>
  <si>
    <t>Risk-Free Rate (Rf)</t>
  </si>
  <si>
    <t>US 10Y Treasury, May 2026</t>
  </si>
  <si>
    <t>Equity Risk Premium (ERP)</t>
  </si>
  <si>
    <t>Damodaran 2026 implied ERP</t>
  </si>
  <si>
    <t>Levered Beta (β)</t>
  </si>
  <si>
    <t>Bloomberg 2Y adj beta; Bear=1.80 on higher risk</t>
  </si>
  <si>
    <t>Pre-Tax Cost of Debt (Kd)</t>
  </si>
  <si>
    <t>Weighted avg coupon on outstanding notes</t>
  </si>
  <si>
    <t>Target D/(D+E)</t>
  </si>
  <si>
    <t>Long-term target; D/EV =32% at current prices</t>
  </si>
  <si>
    <t>Marginal Tax Rate (for WACC)</t>
  </si>
  <si>
    <t>Marginal rate for interest tax shield. Base=12% (aligned with Q2 2026 guided 11%)</t>
  </si>
  <si>
    <t>Terminal Growth Rate (g)</t>
  </si>
  <si>
    <t>Base=2.5% LT nominal GDP+; Bull=3.0% AI secular; Bear=2.0% mature</t>
  </si>
  <si>
    <t>Derived WACC</t>
  </si>
  <si>
    <t>Cost of Equity (Ke)</t>
  </si>
  <si>
    <t>Ke = Rf + β × ERP</t>
  </si>
  <si>
    <t>After-Tax Cost of Debt</t>
  </si>
  <si>
    <t>Kd × (1 − ETR)</t>
  </si>
  <si>
    <t>WACC</t>
  </si>
  <si>
    <t>WACC = Ke×(1−D/TC) + Kd(1−t)×D/TC. Links to DCF tab</t>
  </si>
  <si>
    <t>Valuation Bridge Inputs</t>
  </si>
  <si>
    <t>Cash &amp; Equivalents ($M) — from BS</t>
  </si>
  <si>
    <t>To be linked from BS post-build (hardcoded anchor for DCF bridge)</t>
  </si>
  <si>
    <t>Total Debt ($M) — from BS</t>
  </si>
  <si>
    <t>Revenue Growth Assumptions</t>
  </si>
  <si>
    <t xml:space="preserve">  CCG Revenue Growth 2026E</t>
  </si>
  <si>
    <t>Supply recovery offsets PC TAM decline</t>
  </si>
  <si>
    <t xml:space="preserve">  CCG Revenue Growth 2027E</t>
  </si>
  <si>
    <t>Modest PC unit growth + AI PC ASP lift</t>
  </si>
  <si>
    <t xml:space="preserve">  CCG Revenue Growth 2028E</t>
  </si>
  <si>
    <t>Maturing AI PC cycle</t>
  </si>
  <si>
    <t xml:space="preserve">  DCAI Revenue Growth 2026E</t>
  </si>
  <si>
    <t>Supply recovery + CPU demand + ASIC ramp</t>
  </si>
  <si>
    <t xml:space="preserve">  DCAI Revenue Growth 2027E</t>
  </si>
  <si>
    <t>Moderates as base effect kicks in</t>
  </si>
  <si>
    <t xml:space="preserve">  DCAI Revenue Growth 2028E</t>
  </si>
  <si>
    <t>CPU structural demand from AI inference</t>
  </si>
  <si>
    <t xml:space="preserve">  Intel Foundry Revenue Growth 2026E</t>
  </si>
  <si>
    <t>EUV node ramp + internal product demand</t>
  </si>
  <si>
    <t xml:space="preserve">  Intel Foundry Revenue Growth 2027E</t>
  </si>
  <si>
    <t>External customer + adv packaging ramps</t>
  </si>
  <si>
    <t xml:space="preserve">  Intel Foundry Revenue Growth 2028E</t>
  </si>
  <si>
    <t>14A early revenue possible</t>
  </si>
  <si>
    <t xml:space="preserve">  All Other Revenue Growth 2026E</t>
  </si>
  <si>
    <t>Mobileye headwinds + Altera deconsolidation</t>
  </si>
  <si>
    <t xml:space="preserve">  All Other Revenue Growth 2027E</t>
  </si>
  <si>
    <t>Mobileye recovery as SuperVision ramps</t>
  </si>
  <si>
    <t xml:space="preserve">  All Other Revenue Growth 2028E</t>
  </si>
  <si>
    <t>Mobileye+IMS sustained growth</t>
  </si>
  <si>
    <t>CCG Bottom-Up Drivers: Revenue = PC TAM x Intel Share x ASP</t>
  </si>
  <si>
    <t>PC TAM (M units) — Source: Gartner/IDC</t>
  </si>
  <si>
    <t xml:space="preserve">  PC TAM — FY2026E</t>
  </si>
  <si>
    <t>Gartner: 2023=241.8M, 2024=245.4M. 2025E ~259M. Base=+0.5% modest recovery</t>
  </si>
  <si>
    <t xml:space="preserve">  PC TAM — FY2027E</t>
  </si>
  <si>
    <t>Windows 10 EOL refresh + AI PC adoption. Bull: strong enterprise refresh</t>
  </si>
  <si>
    <t xml:space="preserve">  PC TAM — FY2028E</t>
  </si>
  <si>
    <t>AI PC matures; modest long-term growth</t>
  </si>
  <si>
    <t>Intel PC Unit Share (%) — Source: Mercury Research</t>
  </si>
  <si>
    <t xml:space="preserve">  Intel Share — FY2026E</t>
  </si>
  <si>
    <t>Mercury est: Q4'24 ~72%. 18A products competitive; share recovery assumed</t>
  </si>
  <si>
    <t xml:space="preserve">  Intel Share — FY2027E</t>
  </si>
  <si>
    <t>Panther Lake + Nova Lake sustain competitiveness</t>
  </si>
  <si>
    <t xml:space="preserve">  Intel Share — FY2028E</t>
  </si>
  <si>
    <t>Continued share recovery with leading-edge nodes</t>
  </si>
  <si>
    <t>Intel CCG Blended ASP ($) — Derived from Rev/(TAM×Share)</t>
  </si>
  <si>
    <t xml:space="preserve">  CCG ASP — FY2026E</t>
  </si>
  <si>
    <t>FY2025 ASP depressed. Q1 2026 +16% YoY. Base: ASP recovery + premium mix</t>
  </si>
  <si>
    <t xml:space="preserve">  CCG ASP — FY2027E</t>
  </si>
  <si>
    <t>AI PC (Core Ultra) mix continues to lift ASP</t>
  </si>
  <si>
    <t xml:space="preserve">  CCG ASP — FY2028E</t>
  </si>
  <si>
    <t>Premium mix + pricing discipline</t>
  </si>
  <si>
    <t>DCAI Bottom-Up Drivers: CPU Rev = Server TAM x Share x ASP + AI/ASIC Rev</t>
  </si>
  <si>
    <t>Server TAM (M units) — Source: IDC</t>
  </si>
  <si>
    <t xml:space="preserve">  Server TAM — FY2026E</t>
  </si>
  <si>
    <t>IDC est: 2023=11.5M, 2024=12.0M. AI buildout driving 2025+. Base: +12%</t>
  </si>
  <si>
    <t xml:space="preserve">  Server TAM — FY2027E</t>
  </si>
  <si>
    <t>Hyperscale + enterprise AI infra. Bull: accelerated buildout</t>
  </si>
  <si>
    <t xml:space="preserve">  Server TAM — FY2028E</t>
  </si>
  <si>
    <t>CPU inference demand structural?</t>
  </si>
  <si>
    <t>Intel DC Server Unit Share (%) — Source: Mercury Research</t>
  </si>
  <si>
    <t xml:space="preserve">  Intel DC Share — FY2026E</t>
  </si>
  <si>
    <t>Mercury: Q4'24 ~72%. Granite Rapids improving; AMD Turin competitive. Base: share stabilizes</t>
  </si>
  <si>
    <t xml:space="preserve">  Intel DC Share — FY2027E</t>
  </si>
  <si>
    <t>Coral Rapids + Clearwater Forest on 18A. Bull: share recovers</t>
  </si>
  <si>
    <t xml:space="preserve">  Intel DC Share — FY2028E</t>
  </si>
  <si>
    <t>Sustained competitiveness on 18A/14A</t>
  </si>
  <si>
    <t>Intel Server Blended ASP ($) — Derived from CPU Rev/(TAM×Share)</t>
  </si>
  <si>
    <t xml:space="preserve">  Server ASP — FY2026E</t>
  </si>
  <si>
    <t>FY2025 ASP depressed. Q1 2026 +27% YoY. Base: premium mix recovery</t>
  </si>
  <si>
    <t xml:space="preserve">  Server ASP — FY2027E</t>
  </si>
  <si>
    <t>Granite Rapids/Coral Rapids premium cores support ASP</t>
  </si>
  <si>
    <t xml:space="preserve">  Server ASP — FY2028E</t>
  </si>
  <si>
    <t>Mix shift to high-core-count AI-adjacent CPUs</t>
  </si>
  <si>
    <t>AI/ASIC &amp; Other Revenue ($M) — Gaudi, ASICs, NICs, IPUs</t>
  </si>
  <si>
    <t xml:space="preserve">  AI/ASIC Rev — FY2026E</t>
  </si>
  <si>
    <t>ASIC run rate 'north of $1B' Q1 2026, nearly doubling YoY. Gaudi modest. Base: +75%</t>
  </si>
  <si>
    <t xml:space="preserve">  AI/ASIC Rev — FY2027E</t>
  </si>
  <si>
    <t>ASICs scaling; custom silicon deals (Google, others)</t>
  </si>
  <si>
    <t xml:space="preserve">  AI/ASIC Rev — FY2028E</t>
  </si>
  <si>
    <t>Custom ASIC pipeline + networking attach</t>
  </si>
  <si>
    <t>Segment Operating Margin Assumptions</t>
  </si>
  <si>
    <t xml:space="preserve">  CCG Operating Margin 2026E</t>
  </si>
  <si>
    <t>Q1 32.6% moderated by 18A ramp costs</t>
  </si>
  <si>
    <t xml:space="preserve">  CCG Operating Margin 2027E</t>
  </si>
  <si>
    <t>18A yield maturation begins</t>
  </si>
  <si>
    <t xml:space="preserve">  CCG Operating Margin 2028E</t>
  </si>
  <si>
    <t>Cost structure improvement</t>
  </si>
  <si>
    <t xml:space="preserve">  DCAI Operating Margin 2026E</t>
  </si>
  <si>
    <t>Sustains near Q1 30.5% level; ASIC supports</t>
  </si>
  <si>
    <t xml:space="preserve">  DCAI Operating Margin 2027E</t>
  </si>
  <si>
    <t>Competition begins to pressure</t>
  </si>
  <si>
    <t xml:space="preserve">  DCAI Operating Margin 2028E</t>
  </si>
  <si>
    <t>Coral Rapids cycle supports</t>
  </si>
  <si>
    <t xml:space="preserve">  Intel Foundry Operating Margin 2026E</t>
  </si>
  <si>
    <t>18A yield improvement + volume absorption</t>
  </si>
  <si>
    <t xml:space="preserve">  Intel Foundry Operating Margin 2027E</t>
  </si>
  <si>
    <t>External revenue begins, 14A R&amp;D costs</t>
  </si>
  <si>
    <t xml:space="preserve">  Intel Foundry Operating Margin 2028E</t>
  </si>
  <si>
    <t>Still unprofitable; multi-year journey</t>
  </si>
  <si>
    <t xml:space="preserve">  All Other Operating Margin 2026E</t>
  </si>
  <si>
    <t>Mobileye gradual recovery</t>
  </si>
  <si>
    <t xml:space="preserve">  All Other Operating Margin 2027E</t>
  </si>
  <si>
    <t>SuperVision/Chauffeur revenue</t>
  </si>
  <si>
    <t xml:space="preserve">  All Other Operating Margin 2028E</t>
  </si>
  <si>
    <t>IMS growth + auto cycle improvement</t>
  </si>
  <si>
    <t>Consolidated Cost Structure</t>
  </si>
  <si>
    <t xml:space="preserve">  COGS as % of Revenue 2026E</t>
  </si>
  <si>
    <t>GM=38.5%/41.0%/36.0%. Q1 39.4% base; 18A mix headwind offset by yield gains</t>
  </si>
  <si>
    <t xml:space="preserve">  COGS as % of Revenue 2027E</t>
  </si>
  <si>
    <t>GM=41.0%/45.0%/37.0%. Structural improvement as 18A matures</t>
  </si>
  <si>
    <t xml:space="preserve">  COGS as % of Revenue 2028E</t>
  </si>
  <si>
    <t>GM=43.5%/49.0%/38.0%. Approaching historical 40%+ levels</t>
  </si>
  <si>
    <t xml:space="preserve">  R&amp;D % of Revenue 2026E</t>
  </si>
  <si>
    <t>~$14.5B absolute; declining as % of growing revenue</t>
  </si>
  <si>
    <t xml:space="preserve">  R&amp;D % of Revenue 2027E</t>
  </si>
  <si>
    <t>~$15.5B absolute; efficiency gains</t>
  </si>
  <si>
    <t xml:space="preserve">  R&amp;D % of Revenue 2028E</t>
  </si>
  <si>
    <t>~$16.0B absolute; 14A R&amp;D investment</t>
  </si>
  <si>
    <t xml:space="preserve">  MG&amp;A % of Revenue 2026E</t>
  </si>
  <si>
    <t>~$4.5B flat absolute</t>
  </si>
  <si>
    <t xml:space="preserve">  MG&amp;A % of Revenue 2027E</t>
  </si>
  <si>
    <t>Declining as % of growing revenue</t>
  </si>
  <si>
    <t xml:space="preserve">  MG&amp;A % of Revenue 2028E</t>
  </si>
  <si>
    <t>Further efficiency from restructuring</t>
  </si>
  <si>
    <t>D&amp;A ($M absolute)</t>
  </si>
  <si>
    <t xml:space="preserve">    2026E</t>
  </si>
  <si>
    <t>Q1 annualised ~$12.5B; CIP→in-service driving growth</t>
  </si>
  <si>
    <t xml:space="preserve">    2027E</t>
  </si>
  <si>
    <t>Continued fab asset placement</t>
  </si>
  <si>
    <t xml:space="preserve">    2028E</t>
  </si>
  <si>
    <t>Partially offset by govt incentives</t>
  </si>
  <si>
    <t>SBC ($M absolute) — FY2026E</t>
  </si>
  <si>
    <t>Q1 2026 annualised ~$2.5B</t>
  </si>
  <si>
    <t>Restructuring &amp; Other Charges ($M)</t>
  </si>
  <si>
    <t>Winding down; plans substantially complete</t>
  </si>
  <si>
    <t>Working Capital Assumptions</t>
  </si>
  <si>
    <t>AR Days</t>
  </si>
  <si>
    <t>Historical range 22-27 days</t>
  </si>
  <si>
    <t>AP Days</t>
  </si>
  <si>
    <t>Normalised from FY2024 peak (vendor terms)</t>
  </si>
  <si>
    <t>Inventory Days</t>
  </si>
  <si>
    <t>Remarkably stable at ~124 days</t>
  </si>
  <si>
    <t>Accrued Comp % of Revenue</t>
  </si>
  <si>
    <t>Midpoint of historical range</t>
  </si>
  <si>
    <t>Other CA % of Revenue</t>
  </si>
  <si>
    <t>Includes ~$7.5B refundable tax credits</t>
  </si>
  <si>
    <t>Other CL % of Revenue</t>
  </si>
  <si>
    <t>Stable relationship</t>
  </si>
  <si>
    <t>Income Tax Payable % of Revenue</t>
  </si>
  <si>
    <t>Normalised level</t>
  </si>
  <si>
    <t>Capital Expenditure ($M Gross)</t>
  </si>
  <si>
    <t>Flat YoY per mgmt guidance; tool-heavy</t>
  </si>
  <si>
    <t>External customer commitments begin</t>
  </si>
  <si>
    <t>14A capacity buildout in Bull</t>
  </si>
  <si>
    <t>Financing Assumptions</t>
  </si>
  <si>
    <t xml:space="preserve">  Total Debt 2026E ($M)</t>
  </si>
  <si>
    <t>+$6.5B Fab34 loan −$2.5B maturities</t>
  </si>
  <si>
    <t xml:space="preserve">  Total Debt 2027E ($M)</t>
  </si>
  <si>
    <t>−$3.8B maturities repaid</t>
  </si>
  <si>
    <t xml:space="preserve">  Total Debt 2028E ($M)</t>
  </si>
  <si>
    <t>Modest net reduction; no new debt assumed</t>
  </si>
  <si>
    <t xml:space="preserve">  Basic Shares 2026E (M)</t>
  </si>
  <si>
    <t>Q1 5,023M + ESPP/RSU + Escrowed Share releases</t>
  </si>
  <si>
    <t xml:space="preserve">  Basic Shares 2027E (M)</t>
  </si>
  <si>
    <t>Modest ongoing dilution</t>
  </si>
  <si>
    <t xml:space="preserve">  Basic Shares 2028E (M)</t>
  </si>
  <si>
    <t>Bear: additional strategic equity raises possible</t>
  </si>
  <si>
    <t>DPS ($/share)</t>
  </si>
  <si>
    <t>Dividends suspended; no reinstatement expected</t>
  </si>
  <si>
    <t>Net Equity Issuance ($M)</t>
  </si>
  <si>
    <t>ESPP proceeds net of RSU withholdings</t>
  </si>
  <si>
    <t>Tax &amp; Non-Operating Items</t>
  </si>
  <si>
    <t>Tax Rate — FY2026E</t>
  </si>
  <si>
    <t>Anchored to Q2 2026 guided 11%. ETR=Effective Tax Rate for tax shield calc</t>
  </si>
  <si>
    <t>Tax Rate — FY2027E</t>
  </si>
  <si>
    <t>Valuation allowance means US losses provide no benefit</t>
  </si>
  <si>
    <t>Tax Rate — FY2028E</t>
  </si>
  <si>
    <t>Normalising as Intel returns to sustained profitability</t>
  </si>
  <si>
    <t xml:space="preserve">  Interest &amp; Other, Net 2026E ($M)</t>
  </si>
  <si>
    <t>Net interest on ~$50B debt (~5% coupon)</t>
  </si>
  <si>
    <t xml:space="preserve">  Interest &amp; Other, Net 2027E ($M)</t>
  </si>
  <si>
    <t>Debt paydown reduces interest burden</t>
  </si>
  <si>
    <t xml:space="preserve">  Interest &amp; Other, Net 2028E ($M)</t>
  </si>
  <si>
    <t>Further improvement as debt declines</t>
  </si>
  <si>
    <t xml:space="preserve">  FY2026E</t>
  </si>
  <si>
    <t>Per mgmt: ~$250M/q Q2-Q4; Ireland SCIP NCI eliminated Apr 2026</t>
  </si>
  <si>
    <t xml:space="preserve">  FY2027E</t>
  </si>
  <si>
    <t>Per mgmt: ~$1.1B/year 2027-2028</t>
  </si>
  <si>
    <t xml:space="preserve">  FY2028E</t>
  </si>
  <si>
    <t>Arizona SCIP + Mobileye NCI ongoing</t>
  </si>
  <si>
    <t>Corporate &amp; Eliminations</t>
  </si>
  <si>
    <t xml:space="preserve">  Corporate Unallocated 2026E ($M)</t>
  </si>
  <si>
    <t>Declining restructuring + SBC reallocation</t>
  </si>
  <si>
    <t xml:space="preserve">  Corporate Unallocated 2027E ($M)</t>
  </si>
  <si>
    <t>Further restructuring benefit</t>
  </si>
  <si>
    <t xml:space="preserve">  Corporate Unallocated 2028E ($M)</t>
  </si>
  <si>
    <t>Stable run-rate</t>
  </si>
  <si>
    <t>Intel Foundry Bottom-Up Drivers: Internal Rev = Total Chip Vol x Rev/Chip + External</t>
  </si>
  <si>
    <t>Internal Foundry Rev per Chip ($/unit) — Internal Foundry Rev / Total Intel Units</t>
  </si>
  <si>
    <t xml:space="preserve">  Internal Foundry Rev/Chip — FY2026E</t>
  </si>
  <si>
    <t>Declining trend: FY2023 $102.2 -&gt; FY2025 $90.1. Stabilizes as 18A premium wafers ramp</t>
  </si>
  <si>
    <t xml:space="preserve">  Internal Foundry Rev/Chip — FY2027E</t>
  </si>
  <si>
    <t>18A maturity supports modest ASP improvement</t>
  </si>
  <si>
    <t xml:space="preserve">  Internal Foundry Rev/Chip — FY2028E</t>
  </si>
  <si>
    <t>14A early adopter premium + 18A volume scale</t>
  </si>
  <si>
    <t>All Other Bottom-Up Drivers: Mobileye (LV Prod x Rev/Veh) + IMS/Other</t>
  </si>
  <si>
    <t>Global Light Vehicle Production (M units) — Source: IHS/S&amp;P Global Mobility</t>
  </si>
  <si>
    <t xml:space="preserve">  Global LV Production — FY2026E</t>
  </si>
  <si>
    <t>IHS/S&amp;P Global Mobility. FY2025 ~87M. Modest recovery in Base case</t>
  </si>
  <si>
    <t xml:space="preserve">  Global LV Production — FY2027E</t>
  </si>
  <si>
    <t>Moderate global auto production growth</t>
  </si>
  <si>
    <t xml:space="preserve">  Global LV Production — FY2028E</t>
  </si>
  <si>
    <t>Steady growth trajectory</t>
  </si>
  <si>
    <t>Mobileye Rev per Vehicle ($/vehicle) — Derived from Mobileye Rev / LV Production</t>
  </si>
  <si>
    <t xml:space="preserve">  Mobileye Rev/Vehicle — FY2026E</t>
  </si>
  <si>
    <t>FY2025 actual: Mobileye $1.9B / 87M LV = $21.8. Q1 2026 $628M. Base: conservatively ~$19</t>
  </si>
  <si>
    <t xml:space="preserve">  Mobileye Rev/Vehicle — FY2027E</t>
  </si>
  <si>
    <t>SuperVision/Chauffeur premium systems partially offset EyeQ ASP pressure</t>
  </si>
  <si>
    <t xml:space="preserve">  Mobileye Rev/Vehicle — FY2028E</t>
  </si>
  <si>
    <t>Advanced ADAS mix shift supports ASP recovery</t>
  </si>
  <si>
    <t>IMS &amp; Other Revenue ($M) — IMS nanofabrication tools + legacy businesses</t>
  </si>
  <si>
    <t xml:space="preserve">  IMS &amp; Other Rev — FY2026E</t>
  </si>
  <si>
    <t>IMS multi-beam mask writers benefit from semi capex cycle. FY2023-24 include Altera (deconsolidated Sep 2025)</t>
  </si>
  <si>
    <t xml:space="preserve">  IMS &amp; Other Rev — FY2027E</t>
  </si>
  <si>
    <t>IMS tool shipments driven by EUV adoption</t>
  </si>
  <si>
    <t xml:space="preserve">  IMS &amp; Other Rev — FY2028E</t>
  </si>
  <si>
    <t>IMS steady growth + legacy business runoff</t>
  </si>
  <si>
    <t>External Foundry Revenue ($M Absolute)</t>
  </si>
  <si>
    <t>Only ~$150M in FY2025. Growing as 18A/14A external customers ramp</t>
  </si>
  <si>
    <t xml:space="preserve">  External Foundry Rev 2026E</t>
  </si>
  <si>
    <t>Q1 2026 $174M annualised + growth</t>
  </si>
  <si>
    <t xml:space="preserve">  External Foundry Rev 2027E</t>
  </si>
  <si>
    <t>18A external PDK → wafer revenue</t>
  </si>
  <si>
    <t xml:space="preserve">  External Foundry Rev 2028E</t>
  </si>
  <si>
    <t>14A early adopters</t>
  </si>
  <si>
    <t>Intersegment Eliminations ($M)</t>
  </si>
  <si>
    <t>Residual inter-segment elim; bulk of Foundry internal is excluded from consolidated</t>
  </si>
  <si>
    <t>Intel (INTC) - Revenue Growth Drivers</t>
  </si>
  <si>
    <t>USD Million / M Units / $ per Unit</t>
  </si>
  <si>
    <t>Bottom-up revenue decomposition. Data sources cited inline.</t>
  </si>
  <si>
    <t>CCG: Client Computing Group — Bottom-Up</t>
  </si>
  <si>
    <t>Method: Revenue = PC TAM (M units) × Intel Unit Share (%) × Blended ASP ($)</t>
  </si>
  <si>
    <t>TAM source: Gartner/IDC (2023=241.8M, 2024=245.4M). Share: Mercury Research est. ASP: derived from rev/(TAM×share).</t>
  </si>
  <si>
    <t>PC TAM (M units)</t>
  </si>
  <si>
    <t>Source: Gartner/IDC. 2025 est. based on Canalys ~259M full-year</t>
  </si>
  <si>
    <t>Intel PC Unit Share (%)</t>
  </si>
  <si>
    <t>Source: Mercury Research x86 PC CPU share. Q4'24 est. ~72%</t>
  </si>
  <si>
    <t xml:space="preserve">  Intel Implied Units (M)</t>
  </si>
  <si>
    <t xml:space="preserve"> PC TAM × Intel Share. Implied unit shipments</t>
  </si>
  <si>
    <t>Intel CCG Blended ASP ($)</t>
  </si>
  <si>
    <t>Historical: derived as Reported Revenue / Implied Units. Q1 2026 ASP +16% YoY</t>
  </si>
  <si>
    <t xml:space="preserve">  Implied CCG Revenue ($M)</t>
  </si>
  <si>
    <t xml:space="preserve"> Units × ASP. Bottom-up revenue estimate</t>
  </si>
  <si>
    <t xml:space="preserve">  Reported CCG Revenue ($M)</t>
  </si>
  <si>
    <t>Historical: links to Segment_Revenue (10-K). Forecast: = Implied (Segment_Revenue pulls from Growth_Drivers)</t>
  </si>
  <si>
    <t xml:space="preserve">  Reconciliation: Implied − Reported ($M)</t>
  </si>
  <si>
    <t>Should be near-zero for historical (within 0.1%). Forecast: divergence flags assumption inconsistency</t>
  </si>
  <si>
    <t xml:space="preserve">  Reconcil. as % of Reported</t>
  </si>
  <si>
    <t>Green if &lt;1%</t>
  </si>
  <si>
    <t>DCAI: Data Center &amp; AI — Bottom-Up</t>
  </si>
  <si>
    <t>Method: Revenue = Server TAM (M) × Intel DC Share (%) × ASP ($) + AI/ASIC ($M)</t>
  </si>
  <si>
    <t>TAM: IDC. Share: Mercury Research. AI/ASIC: Gaudi+custom ASICs+NICs/IPUs. Q1 2026 ASIC run rate &gt;$1B.</t>
  </si>
  <si>
    <t>Server TAM (M units)</t>
  </si>
  <si>
    <t>Source: IDC. 2023=11.5M, 2024=12.0M, 2025=13.5M. AI buildout driving unit growth</t>
  </si>
  <si>
    <t>Intel DC Server Unit Share (%)</t>
  </si>
  <si>
    <t>Source: Mercury Research x86 server CPU share. Q4 2024 ~72%. Granite Rapids competitive vs Turin</t>
  </si>
  <si>
    <t xml:space="preserve">  Intel Implied DC Units (M)</t>
  </si>
  <si>
    <t xml:space="preserve"> Server TAM × Intel DC Share. Implied unit shipments</t>
  </si>
  <si>
    <t>Intel Server Blended ASP ($)</t>
  </si>
  <si>
    <t>Historical: derived as (DCAI Rev − AI/ASIC) / (TAM × Share). Q1 2026 ASP +27% YoY</t>
  </si>
  <si>
    <t xml:space="preserve">  Implied CPU Revenue ($M)</t>
  </si>
  <si>
    <t xml:space="preserve"> DC Units × Server ASP. Core x86 server CPU revenue</t>
  </si>
  <si>
    <t>AI/ASIC &amp; Other Revenue ($M)</t>
  </si>
  <si>
    <t>Gaudi AI accelerators + custom ASICs + NICs/IPUs. FY2025 ~$800M. Q1 2026 ASIC run rate &gt;$1B</t>
  </si>
  <si>
    <t xml:space="preserve">  Implied DCAI Revenue ($M)</t>
  </si>
  <si>
    <t xml:space="preserve"> CPU Revenue + AI/ASIC Revenue. Bottom-up DCAI estimate</t>
  </si>
  <si>
    <t xml:space="preserve">  Reported DCAI Revenue ($M)</t>
  </si>
  <si>
    <t>Historical should be near-zero (&lt;0.5%). Forecast: flags driver vs growth-rate assumption divergence</t>
  </si>
  <si>
    <t>Intel Foundry — Bottom-Up</t>
  </si>
  <si>
    <t>Method: Revenue = Total Intel Chip Vol (M) × Internal Rev/Chip ($) + External Foundry ($M)</t>
  </si>
  <si>
    <t>~99% internal wafer sales to Intel Products. Chip vol = CCG + DCAI units. Rev/Chip = internal transfer price.</t>
  </si>
  <si>
    <t>Total Intel Chip Volume (M units)</t>
  </si>
  <si>
    <t xml:space="preserve"> CCG Implied Units + DCAI Implied Units. Links to segment drivers above</t>
  </si>
  <si>
    <t>Internal Foundry Rev per Chip ($)</t>
  </si>
  <si>
    <t>Historical: derived as Internal Foundry Rev / Total Intel Units. Declining trend as older nodes depreciate</t>
  </si>
  <si>
    <t xml:space="preserve">  Internal Foundry Revenue ($M)</t>
  </si>
  <si>
    <t xml:space="preserve"> Total Intel Chip Vol × Internal Rev/Chip. Wafer sales to Intel CCG and DCAI divisions</t>
  </si>
  <si>
    <t>External Foundry Revenue ($M)</t>
  </si>
  <si>
    <t>3rd-party wafer customers. FY2025 ~$150M. Growing as 18A/14A external PDK ramps</t>
  </si>
  <si>
    <t xml:space="preserve">  Implied Total Foundry Revenue ($M)</t>
  </si>
  <si>
    <t xml:space="preserve"> Internal Foundry Rev + External Foundry Rev</t>
  </si>
  <si>
    <t xml:space="preserve">  Reported Foundry Revenue ($M)</t>
  </si>
  <si>
    <t>Historical should be near-zero (&lt;0.1%). Forecast: flags driver vs growth-rate assumption divergence</t>
  </si>
  <si>
    <t>All Other: Mobileye + IMS + Legacy — Bottom-Up</t>
  </si>
  <si>
    <t>Method: Revenue = LV Production (M) × Mobileye Rev/Vehicle ($) + IMS &amp; Other ($M)</t>
  </si>
  <si>
    <t>All Other = Mobileye (ADAS chips) + IMS (nanofab tools) + legacy. LV Prod source: IHS/S&amp;P Global Mobility.</t>
  </si>
  <si>
    <t>Global Light Vehicle Production (M)</t>
  </si>
  <si>
    <t>Source: IHS/S&amp;P Global Mobility. FY2023 89M, FY2024 88M, FY2025 ~87M</t>
  </si>
  <si>
    <t>Mobileye Rev per Vehicle ($)</t>
  </si>
  <si>
    <t>Historical: FY2023 $23.4 (pre-destock), FY2024 $18.9 (inventory correction), FY2025 $21.8 (recovery). Source: Intel 10-K Mobileye revenue $1.9B FY2025</t>
  </si>
  <si>
    <t xml:space="preserve">  Implied Mobileye Revenue ($M)</t>
  </si>
  <si>
    <t xml:space="preserve"> Global LV Production × Mobileye Rev/Vehicle. EyeQ + SuperVision/Chauffeur</t>
  </si>
  <si>
    <t>IMS &amp; Other Revenue ($M)</t>
  </si>
  <si>
    <t>IMS nanofabrication mask writers + legacy. FY2023-24 include Altera ($1.3B decline YoY FY2024). Altera deconsolidated Sep 2025</t>
  </si>
  <si>
    <t xml:space="preserve">  Implied All Other Revenue ($M)</t>
  </si>
  <si>
    <t xml:space="preserve"> Mobileye Revenue + IMS &amp; Other Revenue</t>
  </si>
  <si>
    <t xml:space="preserve">  Reported All Other Revenue ($M)</t>
  </si>
  <si>
    <t>Historical should be near-zero (&lt;1%). Forecast: flags driver vs growth-rate assumption divergence</t>
  </si>
  <si>
    <t>Driver Sensitivity: FY2026E Revenue Elasticity</t>
  </si>
  <si>
    <t>Impact of isolated driver changes on FY2026E implied segment revenue (Base case). Updates with scenario.</t>
  </si>
  <si>
    <t>All elasticities reference FY2026E (col F) driver and revenue values. Switch scenario in Assumptions!B2 to see Bull/Bear sensitivity.</t>
  </si>
  <si>
    <t>Driver</t>
  </si>
  <si>
    <t>FY2026E Value</t>
  </si>
  <si>
    <t>Change</t>
  </si>
  <si>
    <t>Rev Impact ($M)</t>
  </si>
  <si>
    <t>Impact %</t>
  </si>
  <si>
    <t>CCG Drivers</t>
  </si>
  <si>
    <t xml:space="preserve">  PC TAM</t>
  </si>
  <si>
    <t>±1%</t>
  </si>
  <si>
    <t>PC TAM elasticity = 1:1 with CCG revenue (multiplicative driver)</t>
  </si>
  <si>
    <t xml:space="preserve">  Intel PC Share</t>
  </si>
  <si>
    <t>±1pp</t>
  </si>
  <si>
    <t>1pp share shift = TAM × 1% × ASP. Most sensitive CCG driver</t>
  </si>
  <si>
    <t xml:space="preserve">  CCG Blended ASP</t>
  </si>
  <si>
    <t>±$1</t>
  </si>
  <si>
    <t>$1 ASP change = Units × $1 impact</t>
  </si>
  <si>
    <t>DCAI Drivers</t>
  </si>
  <si>
    <t xml:space="preserve">  Server TAM</t>
  </si>
  <si>
    <t>Server TAM elasticity applies to CPU revenue only (not AI/ASIC)</t>
  </si>
  <si>
    <t xml:space="preserve">  Intel DC Server Share</t>
  </si>
  <si>
    <t>1pp share shift in DC CPU market. Most sensitive DCAI driver</t>
  </si>
  <si>
    <t xml:space="preserve">  Server Blended ASP</t>
  </si>
  <si>
    <t>$1 ASP change = DC Units × $1 impact</t>
  </si>
  <si>
    <t xml:space="preserve">  AI/ASIC Revenue</t>
  </si>
  <si>
    <t>±$100M</t>
  </si>
  <si>
    <t>100</t>
  </si>
  <si>
    <t>AI/ASIC passes through 1:1 to DCAI revenue</t>
  </si>
  <si>
    <t>Intel Foundry Drivers</t>
  </si>
  <si>
    <t xml:space="preserve">  Total Intel Chip Vol</t>
  </si>
  <si>
    <t>Chip vol elasticity applies to internal Foundry only</t>
  </si>
  <si>
    <t xml:space="preserve">  Internal Rev per Chip</t>
  </si>
  <si>
    <t>$1 Rev/Chip change = Total Chip Vol × $1. High sensitivity given 197M+ unit base</t>
  </si>
  <si>
    <t xml:space="preserve">  External Foundry Rev</t>
  </si>
  <si>
    <t>External Foundry passes through 1:1</t>
  </si>
  <si>
    <t>All Other Drivers</t>
  </si>
  <si>
    <t xml:space="preserve">  Global LV Production</t>
  </si>
  <si>
    <t>LV Prod elasticity applies to Mobileye revenue only</t>
  </si>
  <si>
    <t xml:space="preserve">  Mobileye Rev per Vehicle</t>
  </si>
  <si>
    <t>$1 Rev/Veh change = LV Production × $1</t>
  </si>
  <si>
    <t xml:space="preserve">  IMS &amp; Other Revenue</t>
  </si>
  <si>
    <t>IMS/Other passes through 1:1</t>
  </si>
  <si>
    <t>Top 3 Most Sensitive Drivers (by Revenue Impact per unit change)</t>
  </si>
  <si>
    <t>1. Intel PC Share: each 1pp = significant revenue swing (largest CCG driver)</t>
  </si>
  <si>
    <t>CCG is ~58% of consolidated revenue; share shifts have outsized impact</t>
  </si>
  <si>
    <t>2. Internal Foundry Rev/Chip: $1 change × 197M+ units = material Foundry revenue swing</t>
  </si>
  <si>
    <t>Internal transfer pricing is the key Foundry profitability lever</t>
  </si>
  <si>
    <t>3. Intel DC Server Share: each 1pp = material DCAI CPU revenue swing</t>
  </si>
  <si>
    <t>Server CPU share is the battleground vs AMD Turin; Granite Rapids competitiveness key</t>
  </si>
  <si>
    <t>Intel (INTC) — Segment Revenue</t>
  </si>
  <si>
    <t>USD Million</t>
  </si>
  <si>
    <t>Historical from 10-K Note 3; Forecast = Prior x (1 + growth)</t>
  </si>
  <si>
    <t>CCG - Client Computing Group</t>
  </si>
  <si>
    <t>Forecast: Links to Growth_Drivers bottom-up implied revenue (pass 2)</t>
  </si>
  <si>
    <t>YoY Growth %</t>
  </si>
  <si>
    <t>DCAI - Data Center &amp; AI</t>
  </si>
  <si>
    <t>Intel Foundry</t>
  </si>
  <si>
    <t>All Other (Mobileye + IMS + Other)</t>
  </si>
  <si>
    <t>Memo: Total Segment Revenue (incl. internal Foundry)</t>
  </si>
  <si>
    <t>Sum of 4 reported segments; Foundry ~99% internal → excluded from consolidated</t>
  </si>
  <si>
    <t>External Foundry Revenue (3rd-party only)</t>
  </si>
  <si>
    <t>~1% of total Foundry revenue historically. Growing as 18A/14A external customers ramp</t>
  </si>
  <si>
    <t>Intersegment Eliminations</t>
  </si>
  <si>
    <t>Residual elim; Foundry~Products internal wafer sales excluded from consolidated</t>
  </si>
  <si>
    <t>TOTAL Consolidated Revenue</t>
  </si>
  <si>
    <t>Historical: 10-K actuals. Forecast: CCG+DCAI+ExtFoundry+AllOther+Elim. Links to Consolidated_PL</t>
  </si>
  <si>
    <t xml:space="preserve">  CCG %</t>
  </si>
  <si>
    <t xml:space="preserve">  DCAI %</t>
  </si>
  <si>
    <t xml:space="preserve">  All Other %</t>
  </si>
  <si>
    <t xml:space="preserve">  External Foundry %</t>
  </si>
  <si>
    <t>External foundry only; internal wafer sales eliminated</t>
  </si>
  <si>
    <t xml:space="preserve">  Memo: Total Foundry / Seg Sum</t>
  </si>
  <si>
    <t>Shows Foundry scale relative to all segments</t>
  </si>
  <si>
    <t>Intel (INTC) - Segment P&amp;L (Operating Income by Division)</t>
  </si>
  <si>
    <t>USD Million (except margin %)</t>
  </si>
  <si>
    <t>OI = Segment Revenue x OPM% from Assumptions. EBIT links to Consolidated_PL.</t>
  </si>
  <si>
    <t>Revenue &lt;- links Segment_Revenue</t>
  </si>
  <si>
    <t xml:space="preserve">  Operating Income</t>
  </si>
  <si>
    <t>Forecast = Revenue x OPM% from Assumptions</t>
  </si>
  <si>
    <t xml:space="preserve">  Operating Margin %</t>
  </si>
  <si>
    <t>Corporate Unallocated</t>
  </si>
  <si>
    <t>From Assumptions. Declining from cost-cutting.</t>
  </si>
  <si>
    <t>Sum of Segment Operating Income + Corp Unalloc</t>
  </si>
  <si>
    <t>KEY OUTPUT. Links to Consolidated_PL EBIT.</t>
  </si>
  <si>
    <t>CROSS-CHECK: Sum Seg OI vs Consolidated EBIT</t>
  </si>
  <si>
    <t xml:space="preserve">  Segment Sum OI</t>
  </si>
  <si>
    <t xml:space="preserve">  Consolidated_PL EBIT</t>
  </si>
  <si>
    <t>TODO: fill in pass 2 after Consolidated_PL built</t>
  </si>
  <si>
    <t xml:space="preserve">  Difference (MUST = 0)</t>
  </si>
  <si>
    <t>MUST = 0 - validates segment/consolidated linkage</t>
  </si>
  <si>
    <t>Intel (INTC) - Consolidated Income Statement</t>
  </si>
  <si>
    <t>Cost structure by type. EBIT = Segment_PL Sum OI (segment-driven).</t>
  </si>
  <si>
    <t>Net Revenue</t>
  </si>
  <si>
    <t>&lt;- Segment_Revenue consolidated total</t>
  </si>
  <si>
    <t>Cost of Sales</t>
  </si>
  <si>
    <t xml:space="preserve"> Revenue x COGS% from Assumptions</t>
  </si>
  <si>
    <t>Gross Profit</t>
  </si>
  <si>
    <t xml:space="preserve"> Revenue - COGS</t>
  </si>
  <si>
    <t xml:space="preserve">  Gross Margin %</t>
  </si>
  <si>
    <t>Operating Expenses (by cost type)</t>
  </si>
  <si>
    <t>Research &amp; Development</t>
  </si>
  <si>
    <t xml:space="preserve"> Revenue x R&amp;D%</t>
  </si>
  <si>
    <t>Marketing, General &amp; Administrative</t>
  </si>
  <si>
    <t xml:space="preserve"> Revenue x MG&amp;A%</t>
  </si>
  <si>
    <t>Restructuring &amp; Other Charges</t>
  </si>
  <si>
    <t>From Assumptions; winding down</t>
  </si>
  <si>
    <t>Total OpEx (per cost rates)</t>
  </si>
  <si>
    <t xml:space="preserve"> R&amp;D + MG&amp;A + Restructuring (top-down cost build)</t>
  </si>
  <si>
    <t>EBIT - Segment-Driven</t>
  </si>
  <si>
    <t>EBIT (Operating Income)</t>
  </si>
  <si>
    <t>&lt;- Segment_PL Sum of Segment OI. SEGMENT-DRIVEN source of truth.</t>
  </si>
  <si>
    <t xml:space="preserve">  EBIT Margin %</t>
  </si>
  <si>
    <t xml:space="preserve">  Implied Total OpEx (GP - EBIT)</t>
  </si>
  <si>
    <t>Transparency: GP - EBIT. May differ from top-down OpEx above.</t>
  </si>
  <si>
    <t>Non-Operating Items</t>
  </si>
  <si>
    <t>Interest &amp; Other, Net</t>
  </si>
  <si>
    <t>Net interest expense on debt</t>
  </si>
  <si>
    <t>Gains/Losses on Equity Investments</t>
  </si>
  <si>
    <t>Unpredictable; set to 0 for forecast</t>
  </si>
  <si>
    <t>Income (Loss) Before Taxes</t>
  </si>
  <si>
    <t xml:space="preserve"> EBIT + Interest + Equity Gains</t>
  </si>
  <si>
    <t>Provision for (Benefit from) Taxes</t>
  </si>
  <si>
    <t>Tax on positive pretax only (valuation allowance shields US losses)</t>
  </si>
  <si>
    <t>Net Income (Loss)</t>
  </si>
  <si>
    <t xml:space="preserve"> Pretax - Tax</t>
  </si>
  <si>
    <t xml:space="preserve">  Net Income Margin %</t>
  </si>
  <si>
    <t>Less: Net Income Attributable to NCI</t>
  </si>
  <si>
    <t>NCI from Assumptions (AZ SCIP + Mobileye; Ireland SCIP eliminated Apr 2026)</t>
  </si>
  <si>
    <t>Net Income Attributable to Intel</t>
  </si>
  <si>
    <t xml:space="preserve"> NI - NCI. Key EPS driver.</t>
  </si>
  <si>
    <t>Memo Items</t>
  </si>
  <si>
    <t>D&amp;A (Memo)</t>
  </si>
  <si>
    <t>Reference for EBITDA calc</t>
  </si>
  <si>
    <t>SBC (Memo)</t>
  </si>
  <si>
    <t>Reference for CFO/FCF bridge</t>
  </si>
  <si>
    <t>Diluted Shares Outstanding (M)</t>
  </si>
  <si>
    <t>Basic shares from Assumptions; diluted approximates basic</t>
  </si>
  <si>
    <t>Diluted EPS ($)</t>
  </si>
  <si>
    <t xml:space="preserve"> NI to Intel / Shares. KEY OUTPUT</t>
  </si>
  <si>
    <t>Dividends per Share (Memo)</t>
  </si>
  <si>
    <t>Suspended; no reinstatement expected</t>
  </si>
  <si>
    <t>Intel (INTC) - Balance Sheet</t>
  </si>
  <si>
    <t>Cash = Total L&amp;E - Non-Cash Assets (plug). Balance check row must = 0.</t>
  </si>
  <si>
    <t>ASSETS</t>
  </si>
  <si>
    <t>Current Assets</t>
  </si>
  <si>
    <t>Cash and Cash Equivalents (PLUG)</t>
  </si>
  <si>
    <t>PLUG: = Total L&amp;E - all non-cash assets. Ensures A = L+E.</t>
  </si>
  <si>
    <t>Short-term Investments (Marketable Securities)</t>
  </si>
  <si>
    <t>TODO: Model as % of total cash or flat. Current: flat ~$24B assumption.</t>
  </si>
  <si>
    <t>Accounts Receivable, Net</t>
  </si>
  <si>
    <t xml:space="preserve"> Revenue x AR Days / 365</t>
  </si>
  <si>
    <t>Inventories</t>
  </si>
  <si>
    <t xml:space="preserve"> COGS x Inventory Days / 365</t>
  </si>
  <si>
    <t>Other Current Assets</t>
  </si>
  <si>
    <t xml:space="preserve"> Revenue x Other CA% (incl. refundable tax credits)</t>
  </si>
  <si>
    <t>Total Current Assets</t>
  </si>
  <si>
    <t xml:space="preserve"> Cash + Securities + AR + Inventory + Other CA</t>
  </si>
  <si>
    <t>Non-Current Assets</t>
  </si>
  <si>
    <t>Property, Plant &amp; Equipment, Net</t>
  </si>
  <si>
    <t xml:space="preserve"> Prior PP&amp;E + Gross CapEx - D&amp;A. Govt incentives not explicitly modelled (reducing gross PP&amp;E).</t>
  </si>
  <si>
    <t>Equity Investments</t>
  </si>
  <si>
    <t>Includes Altera 49% retained stake (equity method). Flat forecast.</t>
  </si>
  <si>
    <t>Goodwill</t>
  </si>
  <si>
    <t>Post-Q1 2026 $3.9B Mobileye impairment. Approx $20012M.</t>
  </si>
  <si>
    <t>Identified Intangible Assets, Net</t>
  </si>
  <si>
    <t>Amortising ~$500M/year</t>
  </si>
  <si>
    <t>Other Long-Term Assets</t>
  </si>
  <si>
    <t>Flat ~$7B assumption</t>
  </si>
  <si>
    <t>Total Non-Current Assets</t>
  </si>
  <si>
    <t>TOTAL ASSETS</t>
  </si>
  <si>
    <t>LIABILITIES &amp; EQUITY</t>
  </si>
  <si>
    <t>Current Liabilities</t>
  </si>
  <si>
    <t>Accounts Payable</t>
  </si>
  <si>
    <t xml:space="preserve"> COGS x AP Days / 365</t>
  </si>
  <si>
    <t>Accrued Compensation and Benefits</t>
  </si>
  <si>
    <t xml:space="preserve"> Revenue x Accrued Comp%</t>
  </si>
  <si>
    <t>Short-Term Debt</t>
  </si>
  <si>
    <t>Stable ~$2.5B assumption; commercial paper + current maturities</t>
  </si>
  <si>
    <t>Income Taxes Payable</t>
  </si>
  <si>
    <t xml:space="preserve"> Revenue x Tax Payable%</t>
  </si>
  <si>
    <t>Other Accrued Liabilities</t>
  </si>
  <si>
    <t xml:space="preserve"> Revenue x Other CL%</t>
  </si>
  <si>
    <t>Total Current Liabilities</t>
  </si>
  <si>
    <t>Non-Current Liabilities</t>
  </si>
  <si>
    <t>Long-Term Debt</t>
  </si>
  <si>
    <t xml:space="preserve"> Total Debt - ST Debt (from Assumptions)</t>
  </si>
  <si>
    <t>Other Long-Term Liabilities</t>
  </si>
  <si>
    <t>Flat ~$9.5B assumption. Includes tax, operating lease, other.</t>
  </si>
  <si>
    <t>Total Non-Current Liabilities</t>
  </si>
  <si>
    <t>TOTAL LIABILITIES</t>
  </si>
  <si>
    <t>Stockholders' Equity</t>
  </si>
  <si>
    <t>Total Intel Stockholders' Equity</t>
  </si>
  <si>
    <t xml:space="preserve"> Prior Equity + NI to Intel + SBC + Net Equity Issuance. Dividends = 0.</t>
  </si>
  <si>
    <t>Non-Controlling Interests</t>
  </si>
  <si>
    <t xml:space="preserve"> Prior NCI + P&amp;L NCI - estimated distributions (~$300M). AZ SCIP + Mobileye remain.</t>
  </si>
  <si>
    <t>Total Stockholders' Equity</t>
  </si>
  <si>
    <t>TOTAL LIABILITIES &amp; EQUITY</t>
  </si>
  <si>
    <t xml:space="preserve">  Total L&amp;E (from above)</t>
  </si>
  <si>
    <t xml:space="preserve">   Balance Check (A - L&amp;E) - MUST = 0</t>
  </si>
  <si>
    <t>MUST = 0 in all years. Validates BS integrity with cash plug.</t>
  </si>
  <si>
    <t>Intel (INTC) - Cash Flow Statement</t>
  </si>
  <si>
    <t>WC changes linked to BS deltas. CFO + CFI = FCF.</t>
  </si>
  <si>
    <t>Operating Activities</t>
  </si>
  <si>
    <t>&lt;- Consolidated_PL</t>
  </si>
  <si>
    <t>(+) Depreciation &amp; Amortization</t>
  </si>
  <si>
    <t>(+) Share-Based Compensation</t>
  </si>
  <si>
    <t>Deferred Taxes</t>
  </si>
  <si>
    <t>TODO: Model deferred tax. Set to 0 for now (valuation allowance limits).</t>
  </si>
  <si>
    <t>Other Non-Cash / Non-Recurring</t>
  </si>
  <si>
    <t>Restructuring charges, impairments, gains/losses, etc. Set to 0 for forecast.</t>
  </si>
  <si>
    <t>Working Capital Changes</t>
  </si>
  <si>
    <t xml:space="preserve">  Change in AR (-increase = outflow)</t>
  </si>
  <si>
    <t>Links to BS bs_ar</t>
  </si>
  <si>
    <t xml:space="preserve">  Change in Inventory (-increase = outflow)</t>
  </si>
  <si>
    <t>Links to BS bs_inventory</t>
  </si>
  <si>
    <t xml:space="preserve">  Change in Other CA (-increase = outflow)</t>
  </si>
  <si>
    <t>Links to BS bs_other_ca</t>
  </si>
  <si>
    <t xml:space="preserve">  Change in AP (+increase = inflow)</t>
  </si>
  <si>
    <t>Links to BS bs_ap</t>
  </si>
  <si>
    <t xml:space="preserve">  Change in Accrued Comp (+increase = inflow)</t>
  </si>
  <si>
    <t>Links to BS bs_accrued_comp</t>
  </si>
  <si>
    <t xml:space="preserve">  Change in Other CL (+increase = inflow)</t>
  </si>
  <si>
    <t>Links to BS bs_other_cl</t>
  </si>
  <si>
    <t xml:space="preserve">  Change in Tax Payable (+increase = inflow)</t>
  </si>
  <si>
    <t>Links to BS bs_tax_payable</t>
  </si>
  <si>
    <t>Net Cash from Operating Activities (CFO)</t>
  </si>
  <si>
    <t xml:space="preserve"> NI + D&amp;A + SBC + DeferredTax + OtherNonCash + Sum(WC Changes)</t>
  </si>
  <si>
    <t>Investing Activities</t>
  </si>
  <si>
    <t>Capital Expenditure (Gross CapEx)</t>
  </si>
  <si>
    <t>Gross CapEx (negative). From Assumptions.</t>
  </si>
  <si>
    <t xml:space="preserve">  CapEx / Revenue %</t>
  </si>
  <si>
    <t>Other Investing Activities, Net</t>
  </si>
  <si>
    <t>Govt incentives, divestitures, ST investment net. Set to 0 for forecast.</t>
  </si>
  <si>
    <t>Net Cash from Investing Activities (CFI)</t>
  </si>
  <si>
    <t>Free Cash Flow (FCF = CFO + CFI)</t>
  </si>
  <si>
    <t xml:space="preserve"> CFO + CFI. KEY OUTPUT.</t>
  </si>
  <si>
    <t xml:space="preserve">  FCF / Revenue %</t>
  </si>
  <si>
    <t>Financing Activities</t>
  </si>
  <si>
    <t>Net Change in Debt</t>
  </si>
  <si>
    <t>Change in Total Debt from Assumptions</t>
  </si>
  <si>
    <t>Net Equity Issuance / (Repurchase)</t>
  </si>
  <si>
    <t>ESPP proceeds net of RSU withholdings. FY2025 inflated by strategic placements.</t>
  </si>
  <si>
    <t>Dividends Paid</t>
  </si>
  <si>
    <t>Dividends suspended; = 0.</t>
  </si>
  <si>
    <t>Partner Contributions (SCIP) &amp; Other Financing</t>
  </si>
  <si>
    <t>AZ SCIP ongoing partner contributions. Ireland SCIP eliminated Apr 2026.</t>
  </si>
  <si>
    <t>Net Cash from Financing Activities (CFF)</t>
  </si>
  <si>
    <t>Net Increase (Decrease) in Cash</t>
  </si>
  <si>
    <t xml:space="preserve"> CFO + CFI + CFF</t>
  </si>
  <si>
    <t>Intel (INTC) - Discounted Cash Flow Valuation</t>
  </si>
  <si>
    <t>USD Million (except per-share data &amp; multiples)</t>
  </si>
  <si>
    <t>Year 1</t>
  </si>
  <si>
    <t>Year 2</t>
  </si>
  <si>
    <t>Year 3</t>
  </si>
  <si>
    <t>Forecast Period</t>
  </si>
  <si>
    <t>DCF based on Unlevered Free Cash Flow (UFCF). TV = Gordon Growth Model.</t>
  </si>
  <si>
    <t>EBIT</t>
  </si>
  <si>
    <t>&lt;- Consolidated_PL (segment-driven)</t>
  </si>
  <si>
    <t>(-) Tax on EBIT</t>
  </si>
  <si>
    <t xml:space="preserve"> EBIT x ETR from Assumptions</t>
  </si>
  <si>
    <t>NOPAT (= EBIT - Tax on EBIT)</t>
  </si>
  <si>
    <t>Net Operating Profit After Tax</t>
  </si>
  <si>
    <t>(+) D&amp;A</t>
  </si>
  <si>
    <t>(-) Capital Expenditure</t>
  </si>
  <si>
    <t>(-) Change in Net Working Capital</t>
  </si>
  <si>
    <t>≈ 10% of ΔRevenue (AR 7% + Inv 21% - AP 17% ≈ 11%). Sign: NWC increase = cash outflow.</t>
  </si>
  <si>
    <t>Unlevered Free Cash Flow (UFCF)</t>
  </si>
  <si>
    <t xml:space="preserve"> NOPAT + D&amp;A + CapEx (neg) + ΔNWC (neg if outflow)</t>
  </si>
  <si>
    <t>Discount Factor</t>
  </si>
  <si>
    <t xml:space="preserve"> 1/(1+WACC)^t. WACC from Assumptions (~10.5-10.7%)</t>
  </si>
  <si>
    <t>PV of UFCF</t>
  </si>
  <si>
    <t xml:space="preserve"> UFCF x Discount Factor</t>
  </si>
  <si>
    <t>Terminal Value (Gordon Growth Model)</t>
  </si>
  <si>
    <t>Terminal Year UFCF (FY2028E)</t>
  </si>
  <si>
    <t xml:space="preserve"> UFCF in final explicit forecast year</t>
  </si>
  <si>
    <t>From Assumptions. Base = 2.5%.</t>
  </si>
  <si>
    <t>Terminal Value (TV = UFCF x (1+g) / (WACC-g))</t>
  </si>
  <si>
    <t>Gordon Growth: TV = UFCF_terminal x (1+g) / (WACC - g)</t>
  </si>
  <si>
    <t>PV of Terminal Value</t>
  </si>
  <si>
    <t xml:space="preserve"> TV x Discount Factor of final year</t>
  </si>
  <si>
    <t>Enterprise Value Bridge</t>
  </si>
  <si>
    <t>Sum of PV of UFCFs (FY2026E-FY2028E)</t>
  </si>
  <si>
    <t xml:space="preserve"> Sum of PV of UFCF for explicit forecast period</t>
  </si>
  <si>
    <t>(+) PV of Terminal Value</t>
  </si>
  <si>
    <t>Enterprise Value (EV)</t>
  </si>
  <si>
    <t xml:space="preserve"> Sum PV UFCF + PV TV</t>
  </si>
  <si>
    <t xml:space="preserve">  TV as % of EV</t>
  </si>
  <si>
    <t>Equity Value Bridge</t>
  </si>
  <si>
    <t>Enterprise Value</t>
  </si>
  <si>
    <t>(+) Cash &amp; Equivalents</t>
  </si>
  <si>
    <t>&lt;- BS Cash (latest forecast year)</t>
  </si>
  <si>
    <t>(+) Marketable Securities</t>
  </si>
  <si>
    <t>&lt;- BS Short-term Investments</t>
  </si>
  <si>
    <t>(-) Total Debt</t>
  </si>
  <si>
    <t>&lt;- BS LT Debt + ST Debt</t>
  </si>
  <si>
    <t>(-) Non-Controlling Interests</t>
  </si>
  <si>
    <t>&lt;- BS NCI</t>
  </si>
  <si>
    <t>Equity Value</t>
  </si>
  <si>
    <t xml:space="preserve"> EV + Cash + Securities - Debt - NCI. KEY OUTPUT.</t>
  </si>
  <si>
    <t>&lt;- Consolidated_PL. FY2028E diluted shares.</t>
  </si>
  <si>
    <t>Implied Share Price ($)</t>
  </si>
  <si>
    <t xml:space="preserve"> Equity Value / Shares. CENTRAL OUTPUT OF THE MODEL.</t>
  </si>
  <si>
    <t>DCF Summary</t>
  </si>
  <si>
    <t xml:space="preserve">  WACC</t>
  </si>
  <si>
    <t xml:space="preserve">  Terminal Growth Rate</t>
  </si>
  <si>
    <t xml:space="preserve">  Sum PV UFCF</t>
  </si>
  <si>
    <t xml:space="preserve">  PV Terminal Value</t>
  </si>
  <si>
    <t xml:space="preserve">  TV % of EV</t>
  </si>
  <si>
    <t xml:space="preserve">  Enterprise Value</t>
  </si>
  <si>
    <t xml:space="preserve">  (+) Cash + Securities</t>
  </si>
  <si>
    <t xml:space="preserve">  (-) Total Debt</t>
  </si>
  <si>
    <t xml:space="preserve">  (-) NCI</t>
  </si>
  <si>
    <t xml:space="preserve">  Equity Value</t>
  </si>
  <si>
    <t xml:space="preserve">  Implied Share Price</t>
  </si>
  <si>
    <t>Intel (INTC) - Sensitivity Analysis</t>
  </si>
  <si>
    <t>Implied Share Price ($) — WACC vs Terminal Growth Rate</t>
  </si>
  <si>
    <t>Base case WACC = 10.7%, Base case g = 2.5%</t>
  </si>
  <si>
    <t>Terminal g \ WACC</t>
  </si>
  <si>
    <t xml:space="preserve">  1.5%</t>
  </si>
  <si>
    <t>TODO: Implement 2D DATA TABLE in Excel. Open in Excel, select the table range, Data &gt; What-If Analysis &gt; Data Table. Row input: WACC cell (Assumptions!I{wacc_row}). Column input: g cell (Assumptions!I{tg_row}). Base case (WACC=10.7%, g=2.5%) is marked.</t>
  </si>
  <si>
    <t xml:space="preserve">  2.0%</t>
  </si>
  <si>
    <t xml:space="preserve">  2.5%</t>
  </si>
  <si>
    <t xml:space="preserve">  3.0%</t>
  </si>
  <si>
    <t xml:space="preserve">  3.5%</t>
  </si>
  <si>
    <t>Instructions</t>
  </si>
  <si>
    <t>1. Open Intel_IB_Model.xlsx in Microsoft Excel</t>
  </si>
  <si>
    <t>2. Go to Sensitivity tab</t>
  </si>
  <si>
    <t>3. Select the table range (B7:H11)</t>
  </si>
  <si>
    <t>4. Data &gt; What-If Analysis &gt; Data Table</t>
  </si>
  <si>
    <t>5. Row input cell: =Assumptions!$I$18</t>
  </si>
  <si>
    <t>6. Column input cell: =Assumptions!$I$13</t>
  </si>
  <si>
    <t>7. Click OK. Table will populate with implied prices.</t>
  </si>
  <si>
    <t>Intel (INTC) - Ratio Analysis &amp; Financial Metrics</t>
  </si>
  <si>
    <t>All ratios computed from model financials</t>
  </si>
  <si>
    <t>Links to Consolidated_PL, BS, Cash_Flow. Auto-updates with scenario changes.</t>
  </si>
  <si>
    <t>Profitability Ratios</t>
  </si>
  <si>
    <t xml:space="preserve">  ROE (NI to Intel / Avg Equity)</t>
  </si>
  <si>
    <t xml:space="preserve">  ROA (NI / Avg Total Assets)</t>
  </si>
  <si>
    <t xml:space="preserve">  EBITDA Margin %</t>
  </si>
  <si>
    <t>Efficiency Ratios</t>
  </si>
  <si>
    <t xml:space="preserve">  AR Days</t>
  </si>
  <si>
    <t xml:space="preserve">  AP Days</t>
  </si>
  <si>
    <t xml:space="preserve">  Inventory Days</t>
  </si>
  <si>
    <t xml:space="preserve">  CapEx / D&amp;A (x)</t>
  </si>
  <si>
    <t>Leverage &amp; Liquidity Ratios</t>
  </si>
  <si>
    <t xml:space="preserve">  Debt / Total Assets</t>
  </si>
  <si>
    <t xml:space="preserve">  Debt / Equity</t>
  </si>
  <si>
    <t xml:space="preserve">  Current Ratio</t>
  </si>
  <si>
    <t xml:space="preserve">  Net Cash / (Debt) ($M)</t>
  </si>
  <si>
    <t>Cash Flow Quality</t>
  </si>
  <si>
    <t xml:space="preserve">  OCF / Net Income (x)</t>
  </si>
  <si>
    <t xml:space="preserve">  FCF / Net Income (x)</t>
  </si>
  <si>
    <t>Growth Rates (YoY %)</t>
  </si>
  <si>
    <t xml:space="preserve">  Revenue Growth %</t>
  </si>
  <si>
    <t>N/A</t>
  </si>
  <si>
    <t xml:space="preserve">  Net Income Growth %</t>
  </si>
  <si>
    <t xml:space="preserve">  EPS Growth %</t>
  </si>
  <si>
    <t>Market Valuation Multiples</t>
  </si>
  <si>
    <t xml:space="preserve">  Current Stock Price ($) — EDIT HERE</t>
  </si>
  <si>
    <t>Enter current share price; TTM &amp; NTM multiples update automatically</t>
  </si>
  <si>
    <t>TTM Valuation (Based on FY2025A)</t>
  </si>
  <si>
    <t xml:space="preserve">  P/E (x)</t>
  </si>
  <si>
    <t>Price / TTM Diluted EPS</t>
  </si>
  <si>
    <t xml:space="preserve">  P/B (x)</t>
  </si>
  <si>
    <t>Price / TTM Book Value Per Share</t>
  </si>
  <si>
    <t xml:space="preserve">  P/S (x)</t>
  </si>
  <si>
    <t>Price / TTM Revenue Per Share</t>
  </si>
  <si>
    <t xml:space="preserve">  EV/EBITDA (x)</t>
  </si>
  <si>
    <t>Enterprise Value / TTM EBITDA</t>
  </si>
  <si>
    <t xml:space="preserve">  EV/Revenue (x)</t>
  </si>
  <si>
    <t>Enterprise Value / TTM Revenue</t>
  </si>
  <si>
    <t xml:space="preserve">  P/CF (x)</t>
  </si>
  <si>
    <t>Price / TTM Operating Cash Flow Per Share</t>
  </si>
  <si>
    <t xml:space="preserve">  PEG Ratio (x)</t>
  </si>
  <si>
    <t>P/E / TTM EPS Growth %; NM if growth &lt;=0</t>
  </si>
  <si>
    <t xml:space="preserve">  Dividend Yield %</t>
  </si>
  <si>
    <t>TTM DPS / Price; dividend currently suspended</t>
  </si>
  <si>
    <t>NTM Valuation (Based on FY2026E)</t>
  </si>
  <si>
    <t>Price / NTM Diluted EPS; updates with scenario</t>
  </si>
  <si>
    <t>Price / NTM Book Value Per Share</t>
  </si>
  <si>
    <t>Price / NTM Revenue Per Share</t>
  </si>
  <si>
    <t>Enterprise Value / NTM EBITDA</t>
  </si>
  <si>
    <t>Enterprise Value / NTM Revenue</t>
  </si>
  <si>
    <t>Price / NTM Operating Cash Flow Per Share</t>
  </si>
  <si>
    <t>P/E / NTM EPS Growth %; NM if growth &lt;=0</t>
  </si>
  <si>
    <t>NTM DPS / Price; dividend currently 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</si>
</sst>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.0%"/>
    <numFmt numFmtId="177" formatCode="#,##0.0"/>
    <numFmt numFmtId="178" formatCode="0.0"/>
    <numFmt numFmtId="179" formatCode="0.0000"/>
    <numFmt numFmtId="180" formatCode="\$#,##0.00"/>
    <numFmt numFmtId="181" formatCode="0.00\x"/>
    <numFmt numFmtId="182" formatCode="0.0\x"/>
    <numFmt numFmtId="183" formatCode="0.000%"/>
  </numFmts>
  <fonts count="27" x14ac:knownFonts="1">
    <font>
      <sz val="11"/>
      <color theme="1"/>
      <name val="宋体"/>
      <family val="2"/>
      <scheme val="minor"/>
    </font>
    <font>
      <b/>
      <sz val="18"/>
      <color rgb="FF1F4E79"/>
      <name val="Calibri"/>
    </font>
    <font>
      <b/>
      <sz val="14"/>
      <name val="Calibri"/>
    </font>
    <font>
      <i/>
      <sz val="11"/>
      <name val="Calibri"/>
    </font>
    <font>
      <sz val="10"/>
      <color rgb="FF808080"/>
      <name val="Calibri"/>
    </font>
    <font>
      <b/>
      <sz val="10"/>
      <name val="Calibri"/>
    </font>
    <font>
      <sz val="10"/>
      <name val="Calibri"/>
    </font>
    <font>
      <sz val="9"/>
      <color rgb="FF404040"/>
      <name val="Calibri"/>
    </font>
    <font>
      <b/>
      <sz val="11"/>
      <name val="Calibri"/>
    </font>
    <font>
      <b/>
      <sz val="10"/>
      <color rgb="FFC00000"/>
      <name val="Calibri"/>
    </font>
    <font>
      <i/>
      <sz val="8"/>
      <color rgb="FF808080"/>
      <name val="Calibri"/>
    </font>
    <font>
      <b/>
      <sz val="11"/>
      <color rgb="FF1F4E79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305496"/>
      <name val="Calibri"/>
    </font>
    <font>
      <sz val="9"/>
      <name val="Calibri"/>
    </font>
    <font>
      <sz val="9"/>
      <color rgb="FF305496"/>
      <name val="Calibri"/>
    </font>
    <font>
      <sz val="9"/>
      <color rgb="FF548235"/>
      <name val="Calibri"/>
    </font>
    <font>
      <sz val="9"/>
      <color rgb="FFDDEBF7"/>
      <name val="Calibri"/>
    </font>
    <font>
      <sz val="9"/>
      <color rgb="FF000000"/>
      <name val="Calibri"/>
    </font>
    <font>
      <i/>
      <sz val="9"/>
      <color rgb="FF808080"/>
      <name val="Calibri"/>
    </font>
    <font>
      <sz val="10"/>
      <color rgb="FF548235"/>
      <name val="Calibri"/>
    </font>
    <font>
      <b/>
      <sz val="9"/>
      <name val="宋体"/>
      <charset val="134"/>
    </font>
    <font>
      <sz val="9"/>
      <name val="宋体"/>
      <charset val="134"/>
    </font>
    <font>
      <sz val="11"/>
      <color rgb="FF548235"/>
      <name val="宋体"/>
      <charset val="134"/>
    </font>
    <font>
      <b/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3" fillId="0" borderId="2" xfId="0" applyFont="1" applyBorder="1" applyAlignment="1">
      <alignment horizontal="left" vertical="center" wrapText="1"/>
    </xf>
    <xf numFmtId="1" fontId="11" fillId="2" borderId="2" xfId="0" applyNumberFormat="1" applyFont="1" applyFill="1" applyBorder="1" applyAlignment="1">
      <alignment horizontal="right" vertical="center"/>
    </xf>
    <xf numFmtId="0" fontId="11" fillId="0" borderId="2" xfId="0" applyFont="1" applyBorder="1"/>
    <xf numFmtId="0" fontId="0" fillId="0" borderId="2" xfId="0" applyBorder="1"/>
    <xf numFmtId="0" fontId="0" fillId="3" borderId="2" xfId="0" applyFill="1" applyBorder="1"/>
    <xf numFmtId="0" fontId="12" fillId="3" borderId="2" xfId="0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right" vertical="center"/>
    </xf>
    <xf numFmtId="176" fontId="20" fillId="0" borderId="2" xfId="0" applyNumberFormat="1" applyFont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2" fontId="5" fillId="5" borderId="2" xfId="0" applyNumberFormat="1" applyFont="1" applyFill="1" applyBorder="1" applyAlignment="1">
      <alignment horizontal="right" vertical="center"/>
    </xf>
    <xf numFmtId="3" fontId="21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80" fontId="21" fillId="0" borderId="2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10" fontId="14" fillId="4" borderId="2" xfId="0" applyNumberFormat="1" applyFont="1" applyFill="1" applyBorder="1" applyAlignment="1">
      <alignment horizontal="right" vertical="center"/>
    </xf>
    <xf numFmtId="10" fontId="13" fillId="2" borderId="2" xfId="0" applyNumberFormat="1" applyFont="1" applyFill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2" fontId="14" fillId="4" borderId="2" xfId="0" applyNumberFormat="1" applyFont="1" applyFill="1" applyBorder="1" applyAlignment="1">
      <alignment horizontal="right" vertical="center"/>
    </xf>
    <xf numFmtId="2" fontId="13" fillId="2" borderId="2" xfId="0" applyNumberFormat="1" applyFont="1" applyFill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176" fontId="14" fillId="4" borderId="2" xfId="0" applyNumberFormat="1" applyFont="1" applyFill="1" applyBorder="1" applyAlignment="1">
      <alignment horizontal="right" vertical="center"/>
    </xf>
    <xf numFmtId="176" fontId="13" fillId="2" borderId="2" xfId="0" applyNumberFormat="1" applyFont="1" applyFill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10" fontId="13" fillId="0" borderId="2" xfId="0" applyNumberFormat="1" applyFont="1" applyBorder="1" applyAlignment="1">
      <alignment horizontal="right" vertical="center"/>
    </xf>
    <xf numFmtId="177" fontId="14" fillId="4" borderId="2" xfId="0" applyNumberFormat="1" applyFont="1" applyFill="1" applyBorder="1" applyAlignment="1">
      <alignment horizontal="right" vertical="center"/>
    </xf>
    <xf numFmtId="177" fontId="13" fillId="2" borderId="2" xfId="0" applyNumberFormat="1" applyFont="1" applyFill="1" applyBorder="1" applyAlignment="1">
      <alignment horizontal="right" vertical="center"/>
    </xf>
    <xf numFmtId="177" fontId="5" fillId="0" borderId="2" xfId="0" applyNumberFormat="1" applyFont="1" applyBorder="1" applyAlignment="1">
      <alignment horizontal="right" vertical="center"/>
    </xf>
    <xf numFmtId="178" fontId="14" fillId="4" borderId="2" xfId="0" applyNumberFormat="1" applyFont="1" applyFill="1" applyBorder="1" applyAlignment="1">
      <alignment horizontal="right" vertical="center"/>
    </xf>
    <xf numFmtId="178" fontId="13" fillId="2" borderId="2" xfId="0" applyNumberFormat="1" applyFont="1" applyFill="1" applyBorder="1" applyAlignment="1">
      <alignment horizontal="right" vertical="center"/>
    </xf>
    <xf numFmtId="178" fontId="5" fillId="0" borderId="2" xfId="0" applyNumberFormat="1" applyFont="1" applyBorder="1" applyAlignment="1">
      <alignment horizontal="right" vertical="center"/>
    </xf>
    <xf numFmtId="1" fontId="14" fillId="4" borderId="2" xfId="0" applyNumberFormat="1" applyFont="1" applyFill="1" applyBorder="1" applyAlignment="1">
      <alignment horizontal="right" vertical="center"/>
    </xf>
    <xf numFmtId="1" fontId="13" fillId="2" borderId="2" xfId="0" applyNumberFormat="1" applyFont="1" applyFill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center"/>
    </xf>
    <xf numFmtId="3" fontId="14" fillId="4" borderId="2" xfId="0" applyNumberFormat="1" applyFont="1" applyFill="1" applyBorder="1" applyAlignment="1">
      <alignment horizontal="right" vertical="center"/>
    </xf>
    <xf numFmtId="3" fontId="13" fillId="2" borderId="2" xfId="0" applyNumberFormat="1" applyFont="1" applyFill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177" fontId="21" fillId="0" borderId="2" xfId="0" applyNumberFormat="1" applyFont="1" applyBorder="1" applyAlignment="1">
      <alignment horizontal="right" vertical="center"/>
    </xf>
    <xf numFmtId="176" fontId="21" fillId="0" borderId="2" xfId="0" applyNumberFormat="1" applyFont="1" applyBorder="1" applyAlignment="1">
      <alignment horizontal="right" vertical="center"/>
    </xf>
    <xf numFmtId="177" fontId="13" fillId="0" borderId="2" xfId="0" applyNumberFormat="1" applyFont="1" applyBorder="1" applyAlignment="1">
      <alignment horizontal="right" vertical="center"/>
    </xf>
    <xf numFmtId="178" fontId="21" fillId="0" borderId="2" xfId="0" applyNumberFormat="1" applyFont="1" applyBorder="1" applyAlignment="1">
      <alignment horizontal="right" vertical="center"/>
    </xf>
    <xf numFmtId="3" fontId="13" fillId="0" borderId="2" xfId="0" applyNumberFormat="1" applyFont="1" applyBorder="1" applyAlignment="1">
      <alignment horizontal="right" vertical="center"/>
    </xf>
    <xf numFmtId="0" fontId="22" fillId="0" borderId="2" xfId="0" applyFont="1" applyBorder="1"/>
    <xf numFmtId="0" fontId="23" fillId="0" borderId="2" xfId="0" applyFont="1" applyBorder="1"/>
    <xf numFmtId="1" fontId="21" fillId="0" borderId="2" xfId="0" applyNumberFormat="1" applyFont="1" applyBorder="1" applyAlignment="1">
      <alignment horizontal="right" vertical="center"/>
    </xf>
    <xf numFmtId="3" fontId="24" fillId="0" borderId="2" xfId="0" applyNumberFormat="1" applyFont="1" applyBorder="1"/>
    <xf numFmtId="178" fontId="13" fillId="0" borderId="2" xfId="0" applyNumberFormat="1" applyFont="1" applyBorder="1" applyAlignment="1">
      <alignment horizontal="right" vertical="center"/>
    </xf>
    <xf numFmtId="2" fontId="21" fillId="0" borderId="2" xfId="0" applyNumberFormat="1" applyFont="1" applyBorder="1" applyAlignment="1">
      <alignment horizontal="right" vertical="center"/>
    </xf>
    <xf numFmtId="179" fontId="13" fillId="0" borderId="2" xfId="0" applyNumberFormat="1" applyFont="1" applyBorder="1" applyAlignment="1">
      <alignment horizontal="right" vertical="center"/>
    </xf>
    <xf numFmtId="10" fontId="21" fillId="0" borderId="2" xfId="0" applyNumberFormat="1" applyFont="1" applyBorder="1" applyAlignment="1">
      <alignment horizontal="right" vertical="center"/>
    </xf>
    <xf numFmtId="180" fontId="5" fillId="5" borderId="2" xfId="0" applyNumberFormat="1" applyFont="1" applyFill="1" applyBorder="1" applyAlignment="1">
      <alignment horizontal="right" vertical="center"/>
    </xf>
    <xf numFmtId="10" fontId="5" fillId="5" borderId="2" xfId="0" applyNumberFormat="1" applyFont="1" applyFill="1" applyBorder="1" applyAlignment="1">
      <alignment horizontal="right" vertical="center"/>
    </xf>
    <xf numFmtId="176" fontId="12" fillId="3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6" fontId="13" fillId="0" borderId="2" xfId="0" applyNumberFormat="1" applyFont="1" applyBorder="1" applyAlignment="1">
      <alignment horizontal="right" vertical="center"/>
    </xf>
    <xf numFmtId="181" fontId="13" fillId="0" borderId="2" xfId="0" applyNumberFormat="1" applyFont="1" applyBorder="1" applyAlignment="1">
      <alignment horizontal="right" vertical="center"/>
    </xf>
    <xf numFmtId="2" fontId="25" fillId="2" borderId="2" xfId="0" applyNumberFormat="1" applyFont="1" applyFill="1" applyBorder="1"/>
    <xf numFmtId="182" fontId="0" fillId="0" borderId="2" xfId="0" applyNumberFormat="1" applyBorder="1"/>
    <xf numFmtId="181" fontId="0" fillId="0" borderId="2" xfId="0" applyNumberFormat="1" applyBorder="1"/>
    <xf numFmtId="176" fontId="0" fillId="0" borderId="2" xfId="0" applyNumberFormat="1" applyBorder="1"/>
    <xf numFmtId="0" fontId="7" fillId="0" borderId="0" xfId="0" applyFont="1"/>
    <xf numFmtId="0" fontId="0" fillId="0" borderId="0" xfId="0"/>
    <xf numFmtId="0" fontId="10" fillId="0" borderId="0" xfId="0" applyFont="1"/>
    <xf numFmtId="0" fontId="6" fillId="0" borderId="0" xfId="0" applyFont="1"/>
    <xf numFmtId="0" fontId="5" fillId="0" borderId="0" xfId="0" applyFont="1"/>
    <xf numFmtId="0" fontId="1" fillId="0" borderId="0" xfId="0" applyFont="1"/>
    <xf numFmtId="0" fontId="15" fillId="0" borderId="0" xfId="0" applyFont="1"/>
    <xf numFmtId="0" fontId="20" fillId="0" borderId="0" xfId="0" applyFont="1"/>
    <xf numFmtId="0" fontId="17" fillId="0" borderId="0" xfId="0" applyFont="1"/>
    <xf numFmtId="0" fontId="2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/>
    <xf numFmtId="0" fontId="13" fillId="0" borderId="2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183" fontId="13" fillId="0" borderId="2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C42"/>
  <sheetViews>
    <sheetView workbookViewId="0">
      <selection activeCell="F19" sqref="F19"/>
    </sheetView>
  </sheetViews>
  <sheetFormatPr defaultRowHeight="14" x14ac:dyDescent="0.25"/>
  <cols>
    <col min="1" max="1" width="25" customWidth="1"/>
    <col min="2" max="2" width="60" customWidth="1"/>
    <col min="3" max="3" width="30" customWidth="1"/>
  </cols>
  <sheetData>
    <row r="1" spans="1:3" ht="23.5" x14ac:dyDescent="0.55000000000000004">
      <c r="A1" s="73" t="s">
        <v>0</v>
      </c>
      <c r="B1" s="69"/>
      <c r="C1" s="69"/>
    </row>
    <row r="3" spans="1:3" ht="18.5" x14ac:dyDescent="0.45">
      <c r="A3" s="1" t="s">
        <v>1</v>
      </c>
    </row>
    <row r="4" spans="1:3" ht="15" x14ac:dyDescent="0.35">
      <c r="A4" s="2" t="s">
        <v>2</v>
      </c>
    </row>
    <row r="5" spans="1:3" ht="14.5" x14ac:dyDescent="0.3">
      <c r="A5" s="3" t="s">
        <v>3</v>
      </c>
    </row>
    <row r="8" spans="1:3" ht="14.5" x14ac:dyDescent="0.3">
      <c r="A8" s="4" t="s">
        <v>4</v>
      </c>
      <c r="B8" s="71" t="s">
        <v>5</v>
      </c>
      <c r="C8" s="69"/>
    </row>
    <row r="9" spans="1:3" ht="14.5" x14ac:dyDescent="0.3">
      <c r="A9" s="4" t="s">
        <v>6</v>
      </c>
      <c r="B9" s="71" t="s">
        <v>7</v>
      </c>
      <c r="C9" s="69"/>
    </row>
    <row r="10" spans="1:3" ht="14.5" x14ac:dyDescent="0.3">
      <c r="A10" s="4" t="s">
        <v>8</v>
      </c>
      <c r="B10" s="71" t="s">
        <v>9</v>
      </c>
      <c r="C10" s="69"/>
    </row>
    <row r="11" spans="1:3" ht="14.5" x14ac:dyDescent="0.3">
      <c r="A11" s="4" t="s">
        <v>10</v>
      </c>
      <c r="B11" s="71" t="s">
        <v>11</v>
      </c>
      <c r="C11" s="69"/>
    </row>
    <row r="12" spans="1:3" ht="14.5" x14ac:dyDescent="0.3">
      <c r="A12" s="4" t="s">
        <v>12</v>
      </c>
      <c r="B12" s="71" t="s">
        <v>13</v>
      </c>
      <c r="C12" s="69"/>
    </row>
    <row r="13" spans="1:3" ht="14.5" x14ac:dyDescent="0.3">
      <c r="B13" s="71"/>
      <c r="C13" s="69"/>
    </row>
    <row r="14" spans="1:3" ht="14.5" x14ac:dyDescent="0.3">
      <c r="A14" s="4" t="s">
        <v>14</v>
      </c>
      <c r="B14" s="71" t="s">
        <v>15</v>
      </c>
      <c r="C14" s="69"/>
    </row>
    <row r="15" spans="1:3" ht="14.5" x14ac:dyDescent="0.3">
      <c r="A15" s="4" t="s">
        <v>16</v>
      </c>
      <c r="B15" s="71" t="s">
        <v>17</v>
      </c>
      <c r="C15" s="69"/>
    </row>
    <row r="16" spans="1:3" ht="14.5" x14ac:dyDescent="0.3">
      <c r="B16" s="71"/>
      <c r="C16" s="69"/>
    </row>
    <row r="17" spans="1:3" ht="14.5" x14ac:dyDescent="0.3">
      <c r="A17" s="4" t="s">
        <v>18</v>
      </c>
      <c r="B17" s="71" t="s">
        <v>19</v>
      </c>
      <c r="C17" s="69"/>
    </row>
    <row r="18" spans="1:3" ht="14.5" x14ac:dyDescent="0.3">
      <c r="A18" s="4" t="s">
        <v>20</v>
      </c>
      <c r="B18" s="71" t="s">
        <v>21</v>
      </c>
      <c r="C18" s="69"/>
    </row>
    <row r="19" spans="1:3" ht="14.5" x14ac:dyDescent="0.3">
      <c r="A19" s="4" t="s">
        <v>22</v>
      </c>
      <c r="B19" s="71" t="s">
        <v>23</v>
      </c>
      <c r="C19" s="69"/>
    </row>
    <row r="21" spans="1:3" ht="14.5" x14ac:dyDescent="0.3">
      <c r="A21" s="72" t="s">
        <v>24</v>
      </c>
      <c r="B21" s="69"/>
      <c r="C21" s="69"/>
    </row>
    <row r="22" spans="1:3" ht="14.5" x14ac:dyDescent="0.3">
      <c r="A22" s="68" t="s">
        <v>25</v>
      </c>
      <c r="B22" s="69"/>
      <c r="C22" s="69"/>
    </row>
    <row r="23" spans="1:3" ht="14.5" x14ac:dyDescent="0.3">
      <c r="A23" s="68" t="s">
        <v>26</v>
      </c>
      <c r="B23" s="69"/>
      <c r="C23" s="69"/>
    </row>
    <row r="24" spans="1:3" ht="14.5" x14ac:dyDescent="0.3">
      <c r="A24" s="68" t="s">
        <v>27</v>
      </c>
      <c r="B24" s="69"/>
      <c r="C24" s="69"/>
    </row>
    <row r="25" spans="1:3" ht="14.5" x14ac:dyDescent="0.3">
      <c r="A25" s="68" t="s">
        <v>28</v>
      </c>
      <c r="B25" s="69"/>
      <c r="C25" s="69"/>
    </row>
    <row r="26" spans="1:3" ht="14.5" x14ac:dyDescent="0.3">
      <c r="A26" s="68" t="s">
        <v>29</v>
      </c>
      <c r="B26" s="69"/>
      <c r="C26" s="69"/>
    </row>
    <row r="29" spans="1:3" ht="15" x14ac:dyDescent="0.35">
      <c r="A29" s="5" t="s">
        <v>30</v>
      </c>
    </row>
    <row r="30" spans="1:3" ht="14.5" x14ac:dyDescent="0.3">
      <c r="A30" s="71" t="s">
        <v>31</v>
      </c>
      <c r="B30" s="69"/>
      <c r="C30" s="69"/>
    </row>
    <row r="31" spans="1:3" ht="14.5" x14ac:dyDescent="0.3">
      <c r="A31" s="71" t="s">
        <v>32</v>
      </c>
      <c r="B31" s="69"/>
      <c r="C31" s="69"/>
    </row>
    <row r="32" spans="1:3" ht="14.5" x14ac:dyDescent="0.3">
      <c r="A32" s="71" t="s">
        <v>33</v>
      </c>
      <c r="B32" s="69"/>
      <c r="C32" s="69"/>
    </row>
    <row r="33" spans="1:3" ht="14.5" x14ac:dyDescent="0.3">
      <c r="A33" s="71" t="s">
        <v>34</v>
      </c>
      <c r="B33" s="69"/>
      <c r="C33" s="69"/>
    </row>
    <row r="34" spans="1:3" ht="14.5" x14ac:dyDescent="0.3">
      <c r="A34" s="71" t="s">
        <v>35</v>
      </c>
      <c r="B34" s="69"/>
      <c r="C34" s="69"/>
    </row>
    <row r="35" spans="1:3" ht="14.5" x14ac:dyDescent="0.3">
      <c r="A35" s="71" t="s">
        <v>36</v>
      </c>
      <c r="B35" s="69"/>
      <c r="C35" s="69"/>
    </row>
    <row r="38" spans="1:3" ht="14.5" x14ac:dyDescent="0.3">
      <c r="A38" s="6" t="s">
        <v>37</v>
      </c>
    </row>
    <row r="39" spans="1:3" x14ac:dyDescent="0.25">
      <c r="A39" s="70" t="s">
        <v>38</v>
      </c>
      <c r="B39" s="69"/>
      <c r="C39" s="69"/>
    </row>
    <row r="40" spans="1:3" x14ac:dyDescent="0.25">
      <c r="A40" s="70" t="s">
        <v>39</v>
      </c>
      <c r="B40" s="69"/>
      <c r="C40" s="69"/>
    </row>
    <row r="41" spans="1:3" x14ac:dyDescent="0.25">
      <c r="A41" s="70" t="s">
        <v>40</v>
      </c>
      <c r="B41" s="69"/>
      <c r="C41" s="69"/>
    </row>
    <row r="42" spans="1:3" x14ac:dyDescent="0.25">
      <c r="A42" s="70" t="s">
        <v>41</v>
      </c>
      <c r="B42" s="69"/>
      <c r="C42" s="69"/>
    </row>
  </sheetData>
  <mergeCells count="29">
    <mergeCell ref="A1:C1"/>
    <mergeCell ref="B8:C8"/>
    <mergeCell ref="B13:C13"/>
    <mergeCell ref="B19:C19"/>
    <mergeCell ref="A31:C31"/>
    <mergeCell ref="B10:C10"/>
    <mergeCell ref="A30:C30"/>
    <mergeCell ref="B9:C9"/>
    <mergeCell ref="A24:C24"/>
    <mergeCell ref="B15:C15"/>
    <mergeCell ref="B12:C12"/>
    <mergeCell ref="A42:C42"/>
    <mergeCell ref="A33:C33"/>
    <mergeCell ref="B11:C11"/>
    <mergeCell ref="A23:C23"/>
    <mergeCell ref="A32:C32"/>
    <mergeCell ref="A22:C22"/>
    <mergeCell ref="B14:C14"/>
    <mergeCell ref="B17:C17"/>
    <mergeCell ref="A35:C35"/>
    <mergeCell ref="A40:C40"/>
    <mergeCell ref="A39:C39"/>
    <mergeCell ref="A34:C34"/>
    <mergeCell ref="A25:C25"/>
    <mergeCell ref="A41:C41"/>
    <mergeCell ref="B16:C16"/>
    <mergeCell ref="A21:C21"/>
    <mergeCell ref="B18:C18"/>
    <mergeCell ref="A26:C26"/>
  </mergeCells>
  <phoneticPr fontId="2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CC"/>
  </sheetPr>
  <dimension ref="A1:K73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42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43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ht="14.5" x14ac:dyDescent="0.25">
      <c r="A3" s="7" t="s">
        <v>44</v>
      </c>
      <c r="B3" s="8" t="str">
        <f>Assumptions!B2</f>
        <v>Base</v>
      </c>
    </row>
    <row r="5" spans="1:11" ht="15" x14ac:dyDescent="0.35">
      <c r="A5" s="9" t="s">
        <v>45</v>
      </c>
      <c r="B5" s="10"/>
      <c r="C5" s="10"/>
      <c r="D5" s="10"/>
      <c r="E5" s="10"/>
      <c r="F5" s="10"/>
      <c r="G5" s="10"/>
      <c r="H5" s="10"/>
      <c r="I5" s="10"/>
      <c r="J5" s="10"/>
    </row>
    <row r="6" spans="1:11" x14ac:dyDescent="0.25">
      <c r="A6" s="11"/>
      <c r="B6" s="12" t="s">
        <v>46</v>
      </c>
      <c r="C6" s="12" t="s">
        <v>47</v>
      </c>
      <c r="D6" s="12" t="s">
        <v>48</v>
      </c>
      <c r="E6" s="11"/>
      <c r="F6" s="12" t="s">
        <v>49</v>
      </c>
      <c r="G6" s="12" t="s">
        <v>50</v>
      </c>
      <c r="H6" s="12" t="s">
        <v>51</v>
      </c>
      <c r="I6" s="11"/>
      <c r="J6" s="11"/>
      <c r="K6" s="12" t="s">
        <v>52</v>
      </c>
    </row>
    <row r="7" spans="1:11" x14ac:dyDescent="0.25">
      <c r="A7" s="7" t="s">
        <v>53</v>
      </c>
      <c r="B7" s="13">
        <f>Consolidated_PL!B5</f>
        <v>54228</v>
      </c>
      <c r="C7" s="13">
        <f>Consolidated_PL!C5</f>
        <v>53101</v>
      </c>
      <c r="D7" s="13">
        <f>Consolidated_PL!D5</f>
        <v>52853</v>
      </c>
      <c r="F7" s="13">
        <f>Consolidated_PL!F5</f>
        <v>54652</v>
      </c>
      <c r="G7" s="13">
        <f>Consolidated_PL!G5</f>
        <v>61801.75</v>
      </c>
      <c r="H7" s="13">
        <f>Consolidated_PL!H5</f>
        <v>67643.899999999994</v>
      </c>
    </row>
    <row r="8" spans="1:11" x14ac:dyDescent="0.25">
      <c r="A8" s="7" t="s">
        <v>54</v>
      </c>
      <c r="C8" s="14">
        <f>Consolidated_PL!C5/Consolidated_PL!B5-1</f>
        <v>-2.0782621523935951E-2</v>
      </c>
      <c r="D8" s="14">
        <f>Consolidated_PL!D5/Consolidated_PL!C5-1</f>
        <v>-4.6703451912393223E-3</v>
      </c>
      <c r="F8" s="14">
        <f>Consolidated_PL!F5/Consolidated_PL!D5-1</f>
        <v>3.4037802962934904E-2</v>
      </c>
      <c r="G8" s="14">
        <f>Consolidated_PL!G5/Consolidated_PL!F5-1</f>
        <v>0.13082320866573949</v>
      </c>
      <c r="H8" s="14">
        <f>Consolidated_PL!H5/Consolidated_PL!G5-1</f>
        <v>9.4530494686638988E-2</v>
      </c>
    </row>
    <row r="9" spans="1:11" x14ac:dyDescent="0.25">
      <c r="A9" s="7" t="s">
        <v>55</v>
      </c>
      <c r="B9" s="13">
        <f>Consolidated_PL!B7</f>
        <v>21711</v>
      </c>
      <c r="C9" s="13">
        <f>Consolidated_PL!C7</f>
        <v>17345</v>
      </c>
      <c r="D9" s="13">
        <f>Consolidated_PL!D7</f>
        <v>18375</v>
      </c>
      <c r="F9" s="13">
        <f>Consolidated_PL!F7</f>
        <v>21041.020000000004</v>
      </c>
      <c r="G9" s="13">
        <f>Consolidated_PL!G7</f>
        <v>25338.717499999999</v>
      </c>
      <c r="H9" s="13">
        <f>Consolidated_PL!H7</f>
        <v>29425.0965</v>
      </c>
    </row>
    <row r="10" spans="1:11" x14ac:dyDescent="0.25">
      <c r="A10" s="7" t="s">
        <v>56</v>
      </c>
      <c r="B10" s="15">
        <f>Consolidated_PL!B7/Consolidated_PL!B5</f>
        <v>0.40036512502766097</v>
      </c>
      <c r="C10" s="15">
        <f>Consolidated_PL!C7/Consolidated_PL!C5</f>
        <v>0.32664168283083184</v>
      </c>
      <c r="D10" s="15">
        <f>Consolidated_PL!D7/Consolidated_PL!D5</f>
        <v>0.34766238434904356</v>
      </c>
      <c r="F10" s="15">
        <f>Consolidated_PL!F7/Consolidated_PL!F5</f>
        <v>0.38500000000000006</v>
      </c>
      <c r="G10" s="15">
        <f>Consolidated_PL!G7/Consolidated_PL!G5</f>
        <v>0.41</v>
      </c>
      <c r="H10" s="15">
        <f>Consolidated_PL!H7/Consolidated_PL!H5</f>
        <v>0.43500000000000005</v>
      </c>
    </row>
    <row r="11" spans="1:11" x14ac:dyDescent="0.25">
      <c r="A11" s="7" t="s">
        <v>57</v>
      </c>
      <c r="B11" s="13">
        <f>Consolidated_PL!B17</f>
        <v>298</v>
      </c>
      <c r="C11" s="13">
        <f>Consolidated_PL!C17</f>
        <v>-11517</v>
      </c>
      <c r="D11" s="13">
        <f>Consolidated_PL!D17</f>
        <v>-2833</v>
      </c>
      <c r="F11" s="13">
        <f>Consolidated_PL!F17</f>
        <v>2604.3100000000004</v>
      </c>
      <c r="G11" s="13">
        <f>Consolidated_PL!G17</f>
        <v>6851.3502500000013</v>
      </c>
      <c r="H11" s="13">
        <f>Consolidated_PL!H17</f>
        <v>10636.382000000001</v>
      </c>
    </row>
    <row r="12" spans="1:11" x14ac:dyDescent="0.25">
      <c r="A12" s="7" t="s">
        <v>58</v>
      </c>
      <c r="B12" s="15">
        <f>Consolidated_PL!B17/Consolidated_PL!B5</f>
        <v>5.4953160728774802E-3</v>
      </c>
      <c r="C12" s="15">
        <f>Consolidated_PL!C17/Consolidated_PL!C5</f>
        <v>-0.2168885708367074</v>
      </c>
      <c r="D12" s="15">
        <f>Consolidated_PL!D17/Consolidated_PL!D5</f>
        <v>-5.360149849582805E-2</v>
      </c>
      <c r="F12" s="15">
        <f>Consolidated_PL!F17/Consolidated_PL!F5</f>
        <v>4.7652601917587654E-2</v>
      </c>
      <c r="G12" s="15">
        <f>Consolidated_PL!G17/Consolidated_PL!G5</f>
        <v>0.11086013341046171</v>
      </c>
      <c r="H12" s="15">
        <f>Consolidated_PL!H17/Consolidated_PL!H5</f>
        <v>0.15724081550590671</v>
      </c>
    </row>
    <row r="13" spans="1:11" x14ac:dyDescent="0.25">
      <c r="A13" s="7" t="s">
        <v>59</v>
      </c>
      <c r="B13" s="13">
        <f>Consolidated_PL!B29</f>
        <v>1894</v>
      </c>
      <c r="C13" s="13">
        <f>Consolidated_PL!C29</f>
        <v>-18595</v>
      </c>
      <c r="D13" s="13">
        <f>Consolidated_PL!D29</f>
        <v>-886</v>
      </c>
      <c r="F13" s="13">
        <f>Consolidated_PL!F29</f>
        <v>837.7928000000004</v>
      </c>
      <c r="G13" s="13">
        <f>Consolidated_PL!G29</f>
        <v>4338.674717500001</v>
      </c>
      <c r="H13" s="13">
        <f>Consolidated_PL!H29</f>
        <v>7805.6523400000005</v>
      </c>
    </row>
    <row r="14" spans="1:11" x14ac:dyDescent="0.25">
      <c r="A14" s="7" t="s">
        <v>60</v>
      </c>
      <c r="B14" s="15">
        <f>Consolidated_PL!B29/Consolidated_PL!B5</f>
        <v>3.492660618130855E-2</v>
      </c>
      <c r="C14" s="15">
        <f>Consolidated_PL!C29/Consolidated_PL!C5</f>
        <v>-0.35018172915764301</v>
      </c>
      <c r="D14" s="15">
        <f>Consolidated_PL!D29/Consolidated_PL!D5</f>
        <v>-1.6763476056231436E-2</v>
      </c>
      <c r="F14" s="15">
        <f>Consolidated_PL!F29/Consolidated_PL!F5</f>
        <v>1.5329590865842062E-2</v>
      </c>
      <c r="G14" s="15">
        <f>Consolidated_PL!G29/Consolidated_PL!G5</f>
        <v>7.0203104564191154E-2</v>
      </c>
      <c r="H14" s="15">
        <f>Consolidated_PL!H29/Consolidated_PL!H5</f>
        <v>0.11539329252157254</v>
      </c>
    </row>
    <row r="15" spans="1:11" x14ac:dyDescent="0.25">
      <c r="A15" s="7" t="s">
        <v>61</v>
      </c>
      <c r="B15" s="16">
        <f>Consolidated_PL!B35</f>
        <v>0.44966761633428298</v>
      </c>
      <c r="C15" s="16">
        <f>Consolidated_PL!C35</f>
        <v>-4.3446261682242993</v>
      </c>
      <c r="D15" s="16">
        <f>Consolidated_PL!D35</f>
        <v>-0.19558498896247239</v>
      </c>
      <c r="F15" s="16">
        <f>Consolidated_PL!F35</f>
        <v>0.16427309803921578</v>
      </c>
      <c r="G15" s="16">
        <f>Consolidated_PL!G35</f>
        <v>0.83758199179536696</v>
      </c>
      <c r="H15" s="16">
        <f>Consolidated_PL!H35</f>
        <v>1.4867909219047619</v>
      </c>
    </row>
    <row r="16" spans="1:11" x14ac:dyDescent="0.25">
      <c r="A16" s="7" t="s">
        <v>62</v>
      </c>
      <c r="B16" s="17">
        <f>Consolidated_PL!B32</f>
        <v>7847</v>
      </c>
      <c r="C16" s="17">
        <f>Consolidated_PL!C32</f>
        <v>9951</v>
      </c>
      <c r="D16" s="17">
        <f>Consolidated_PL!D32</f>
        <v>10757</v>
      </c>
      <c r="F16" s="17">
        <f>Consolidated_PL!F32</f>
        <v>12500</v>
      </c>
      <c r="G16" s="17">
        <f>Consolidated_PL!G32</f>
        <v>13200</v>
      </c>
      <c r="H16" s="17">
        <f>Consolidated_PL!H32</f>
        <v>13800</v>
      </c>
    </row>
    <row r="17" spans="1:10" x14ac:dyDescent="0.25">
      <c r="A17" s="7" t="s">
        <v>63</v>
      </c>
      <c r="B17" s="13">
        <f>Consolidated_PL!B17+Consolidated_PL!B32</f>
        <v>8145</v>
      </c>
      <c r="C17" s="13">
        <f>Consolidated_PL!C17+Consolidated_PL!C32</f>
        <v>-1566</v>
      </c>
      <c r="D17" s="13">
        <f>Consolidated_PL!D17+Consolidated_PL!D32</f>
        <v>7924</v>
      </c>
      <c r="F17" s="13">
        <f>Consolidated_PL!F17+Consolidated_PL!F32</f>
        <v>15104.310000000001</v>
      </c>
      <c r="G17" s="13">
        <f>Consolidated_PL!G17+Consolidated_PL!G32</f>
        <v>20051.350250000003</v>
      </c>
      <c r="H17" s="13">
        <f>Consolidated_PL!H17+Consolidated_PL!H32</f>
        <v>24436.382000000001</v>
      </c>
    </row>
    <row r="18" spans="1:10" x14ac:dyDescent="0.25">
      <c r="A18" s="7" t="s">
        <v>64</v>
      </c>
      <c r="B18" s="13">
        <f>Cash_Flow!B28</f>
        <v>-11248</v>
      </c>
      <c r="C18" s="13">
        <f>Cash_Flow!C28</f>
        <v>-28562</v>
      </c>
      <c r="D18" s="13">
        <f>Cash_Flow!D28</f>
        <v>-9155</v>
      </c>
      <c r="F18" s="13">
        <f>Cash_Flow!F28</f>
        <v>-679.09678904109023</v>
      </c>
      <c r="G18" s="13">
        <f>Cash_Flow!G28</f>
        <v>4599.9922517465784</v>
      </c>
      <c r="H18" s="13">
        <f>Cash_Flow!H28</f>
        <v>6664.7432920547944</v>
      </c>
    </row>
    <row r="20" spans="1:10" ht="15" x14ac:dyDescent="0.35">
      <c r="A20" s="9" t="s">
        <v>65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7" t="s">
        <v>66</v>
      </c>
      <c r="B21" s="17">
        <f>Segment_Revenue!B5</f>
        <v>32305</v>
      </c>
      <c r="C21" s="17">
        <f>Segment_Revenue!C5</f>
        <v>33346</v>
      </c>
      <c r="D21" s="17">
        <f>Segment_Revenue!D5</f>
        <v>32228</v>
      </c>
      <c r="F21" s="17">
        <f>Segment_Revenue!F5</f>
        <v>32759.999999999996</v>
      </c>
      <c r="G21" s="17">
        <f>Segment_Revenue!G5</f>
        <v>34966.75</v>
      </c>
      <c r="H21" s="17">
        <f>Segment_Revenue!H5</f>
        <v>36266.400000000001</v>
      </c>
    </row>
    <row r="22" spans="1:10" x14ac:dyDescent="0.25">
      <c r="A22" s="7" t="s">
        <v>67</v>
      </c>
      <c r="B22" s="17">
        <f>Segment_Revenue!B8</f>
        <v>15980</v>
      </c>
      <c r="C22" s="17">
        <f>Segment_Revenue!C8</f>
        <v>16125</v>
      </c>
      <c r="D22" s="17">
        <f>Segment_Revenue!D8</f>
        <v>16919</v>
      </c>
      <c r="F22" s="17">
        <f>Segment_Revenue!F8</f>
        <v>17920</v>
      </c>
      <c r="G22" s="17">
        <f>Segment_Revenue!G8</f>
        <v>21754.999999999996</v>
      </c>
      <c r="H22" s="17">
        <f>Segment_Revenue!H8</f>
        <v>24987.5</v>
      </c>
    </row>
    <row r="23" spans="1:10" x14ac:dyDescent="0.25">
      <c r="A23" s="7" t="s">
        <v>68</v>
      </c>
      <c r="B23" s="17">
        <f>Segment_Revenue!B11</f>
        <v>18504</v>
      </c>
      <c r="C23" s="17">
        <f>Segment_Revenue!C11</f>
        <v>17317</v>
      </c>
      <c r="D23" s="17">
        <f>Segment_Revenue!D11</f>
        <v>17826</v>
      </c>
      <c r="F23" s="17">
        <f>Segment_Revenue!F11</f>
        <v>18398.499999999996</v>
      </c>
      <c r="G23" s="17">
        <f>Segment_Revenue!G11</f>
        <v>20109.3</v>
      </c>
      <c r="H23" s="17">
        <f>Segment_Revenue!H11</f>
        <v>22255.25</v>
      </c>
    </row>
    <row r="24" spans="1:10" x14ac:dyDescent="0.25">
      <c r="A24" s="7" t="s">
        <v>69</v>
      </c>
      <c r="B24" s="17">
        <f>Segment_Revenue!B14</f>
        <v>5463</v>
      </c>
      <c r="C24" s="17">
        <f>Segment_Revenue!C14</f>
        <v>3601</v>
      </c>
      <c r="D24" s="17">
        <f>Segment_Revenue!D14</f>
        <v>3563</v>
      </c>
      <c r="F24" s="17">
        <f>Segment_Revenue!F14</f>
        <v>3472</v>
      </c>
      <c r="G24" s="17">
        <f>Segment_Revenue!G14</f>
        <v>3780</v>
      </c>
      <c r="H24" s="17">
        <f>Segment_Revenue!H14</f>
        <v>4090</v>
      </c>
    </row>
    <row r="25" spans="1:10" x14ac:dyDescent="0.25">
      <c r="A25" s="18" t="s">
        <v>70</v>
      </c>
      <c r="B25" s="17">
        <f>Segment_Revenue!B21</f>
        <v>54228</v>
      </c>
      <c r="C25" s="17">
        <f>Segment_Revenue!C21</f>
        <v>53101</v>
      </c>
      <c r="D25" s="17">
        <f>Segment_Revenue!D21</f>
        <v>52853</v>
      </c>
      <c r="F25" s="17">
        <f>Segment_Revenue!F21</f>
        <v>54652</v>
      </c>
      <c r="G25" s="17">
        <f>Segment_Revenue!G21</f>
        <v>61801.75</v>
      </c>
      <c r="H25" s="17">
        <f>Segment_Revenue!H21</f>
        <v>67643.899999999994</v>
      </c>
    </row>
    <row r="27" spans="1:10" ht="15" x14ac:dyDescent="0.35">
      <c r="A27" s="9" t="s">
        <v>71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7" t="s">
        <v>72</v>
      </c>
      <c r="B28" s="17">
        <f>BS!B21</f>
        <v>191572</v>
      </c>
      <c r="C28" s="17">
        <f>BS!C21</f>
        <v>196485</v>
      </c>
      <c r="D28" s="17">
        <f>BS!D21</f>
        <v>211429</v>
      </c>
      <c r="F28" s="17">
        <f>BS!F21</f>
        <v>217237.96047123289</v>
      </c>
      <c r="G28" s="17">
        <f>BS!G21</f>
        <v>226088.93443530821</v>
      </c>
      <c r="H28" s="17">
        <f>BS!H21</f>
        <v>238761.95092599315</v>
      </c>
    </row>
    <row r="29" spans="1:10" x14ac:dyDescent="0.25">
      <c r="A29" s="7" t="s">
        <v>73</v>
      </c>
      <c r="B29" s="17">
        <f>BS!B42</f>
        <v>109965</v>
      </c>
      <c r="C29" s="17">
        <f>BS!C42</f>
        <v>105032</v>
      </c>
      <c r="D29" s="17">
        <f>BS!D42</f>
        <v>126360</v>
      </c>
      <c r="F29" s="17">
        <f>BS!F42</f>
        <v>130447.7928</v>
      </c>
      <c r="G29" s="17">
        <f>BS!G42</f>
        <v>138386.46751749999</v>
      </c>
      <c r="H29" s="17">
        <f>BS!H42</f>
        <v>149792.11985750002</v>
      </c>
    </row>
    <row r="30" spans="1:10" x14ac:dyDescent="0.25">
      <c r="A30" s="7" t="s">
        <v>74</v>
      </c>
      <c r="B30" s="17">
        <f>BS!B7+BS!B8</f>
        <v>25034</v>
      </c>
      <c r="C30" s="17">
        <f>BS!C7+BS!C8</f>
        <v>22062</v>
      </c>
      <c r="D30" s="17">
        <f>BS!D7+BS!D8</f>
        <v>37416</v>
      </c>
      <c r="F30" s="17">
        <f>BS!F7+BS!F8</f>
        <v>45388.263210958918</v>
      </c>
      <c r="G30" s="17">
        <f>BS!G7+BS!G8</f>
        <v>45900.33546270548</v>
      </c>
      <c r="H30" s="17">
        <f>BS!H7+BS!H8</f>
        <v>49995.590754760276</v>
      </c>
    </row>
    <row r="31" spans="1:10" x14ac:dyDescent="0.25">
      <c r="A31" s="7" t="s">
        <v>75</v>
      </c>
      <c r="B31" s="17">
        <f>BS!B34+BS!B28</f>
        <v>49266</v>
      </c>
      <c r="C31" s="17">
        <f>BS!C34+BS!C28</f>
        <v>50011</v>
      </c>
      <c r="D31" s="17">
        <f>BS!D34+BS!D28</f>
        <v>46585</v>
      </c>
      <c r="F31" s="17">
        <f>BS!F34+BS!F28</f>
        <v>49500</v>
      </c>
      <c r="G31" s="17">
        <f>BS!G34+BS!G28</f>
        <v>47200</v>
      </c>
      <c r="H31" s="17">
        <f>BS!H34+BS!H28</f>
        <v>46000</v>
      </c>
    </row>
    <row r="32" spans="1:10" x14ac:dyDescent="0.25">
      <c r="A32" s="7" t="s">
        <v>76</v>
      </c>
      <c r="B32" s="17">
        <f>BS!B7+BS!B8-BS!B34-BS!B28</f>
        <v>-24232</v>
      </c>
      <c r="C32" s="17">
        <f>BS!C7+BS!C8-BS!C34-BS!C28</f>
        <v>-27949</v>
      </c>
      <c r="D32" s="17">
        <f>BS!D7+BS!D8-BS!D34-BS!D28</f>
        <v>-9169</v>
      </c>
      <c r="F32" s="17">
        <f>BS!F7+BS!F8-BS!F34-BS!F28</f>
        <v>-4111.7367890410824</v>
      </c>
      <c r="G32" s="17">
        <f>BS!G7+BS!G8-BS!G34-BS!G28</f>
        <v>-1299.6645372945204</v>
      </c>
      <c r="H32" s="17">
        <f>BS!H7+BS!H8-BS!H34-BS!H28</f>
        <v>3995.5907547602765</v>
      </c>
    </row>
    <row r="33" spans="1:11" x14ac:dyDescent="0.25">
      <c r="A33" s="7" t="s">
        <v>77</v>
      </c>
      <c r="B33" s="14">
        <f>Consolidated_PL!B29/BS!B40</f>
        <v>1.7937304669002747E-2</v>
      </c>
      <c r="C33" s="14">
        <f>Consolidated_PL!C29/BS!C40</f>
        <v>-0.18731741714515968</v>
      </c>
      <c r="D33" s="14">
        <f>Consolidated_PL!D29/BS!D40</f>
        <v>-7.7528198038169073E-3</v>
      </c>
      <c r="F33" s="14">
        <f>Consolidated_PL!F29/BS!F40</f>
        <v>7.1048285019417231E-3</v>
      </c>
      <c r="G33" s="14">
        <f>Consolidated_PL!G29/BS!G40</f>
        <v>3.4693447769465389E-2</v>
      </c>
      <c r="H33" s="14">
        <f>Consolidated_PL!H29/BS!H40</f>
        <v>5.753702515612958E-2</v>
      </c>
    </row>
    <row r="34" spans="1:11" x14ac:dyDescent="0.25">
      <c r="A34" s="7" t="s">
        <v>78</v>
      </c>
      <c r="B34" s="14">
        <f>Consolidated_PL!B26/BS!B21</f>
        <v>9.8135426889106973E-3</v>
      </c>
      <c r="C34" s="14">
        <f>Consolidated_PL!C26/BS!C21</f>
        <v>-9.706593378629412E-2</v>
      </c>
      <c r="D34" s="14">
        <f>Consolidated_PL!D26/BS!D21</f>
        <v>-2.8047240444782884E-3</v>
      </c>
      <c r="F34" s="14">
        <f>Consolidated_PL!F26/BS!F21</f>
        <v>7.3090025175883535E-3</v>
      </c>
      <c r="G34" s="14">
        <f>Consolidated_PL!G26/BS!G21</f>
        <v>2.4055466186719509E-2</v>
      </c>
      <c r="H34" s="14">
        <f>Consolidated_PL!H26/BS!H21</f>
        <v>3.7299294571271131E-2</v>
      </c>
    </row>
    <row r="36" spans="1:11" ht="15" x14ac:dyDescent="0.35">
      <c r="A36" s="9" t="s">
        <v>79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1" x14ac:dyDescent="0.25">
      <c r="A37" s="18" t="s">
        <v>80</v>
      </c>
      <c r="H37" s="19">
        <f>DCF!H35</f>
        <v>0.17436776809597809</v>
      </c>
      <c r="K37" s="20" t="s">
        <v>81</v>
      </c>
    </row>
    <row r="38" spans="1:11" x14ac:dyDescent="0.25">
      <c r="A38" s="7" t="s">
        <v>82</v>
      </c>
      <c r="H38" s="17">
        <f>DCF!H24</f>
        <v>11048.840027743605</v>
      </c>
    </row>
    <row r="39" spans="1:11" x14ac:dyDescent="0.25">
      <c r="A39" s="7" t="s">
        <v>83</v>
      </c>
      <c r="H39" s="17">
        <f>DCF!H33</f>
        <v>915.43078250388498</v>
      </c>
    </row>
    <row r="41" spans="1:11" ht="15" x14ac:dyDescent="0.35">
      <c r="A41" s="9" t="s">
        <v>84</v>
      </c>
      <c r="B41" s="10"/>
      <c r="C41" s="10"/>
      <c r="D41" s="10"/>
      <c r="E41" s="10"/>
      <c r="F41" s="10"/>
      <c r="G41" s="10"/>
      <c r="H41" s="10"/>
      <c r="I41" s="10"/>
      <c r="J41" s="10"/>
    </row>
    <row r="42" spans="1:11" ht="14.5" x14ac:dyDescent="0.3">
      <c r="A42" s="71" t="s">
        <v>85</v>
      </c>
      <c r="B42" s="69"/>
      <c r="C42" s="69"/>
      <c r="D42" s="69"/>
      <c r="E42" s="69"/>
      <c r="F42" s="69"/>
      <c r="G42" s="69"/>
      <c r="H42" s="69"/>
    </row>
    <row r="43" spans="1:11" ht="14.5" x14ac:dyDescent="0.3">
      <c r="A43" s="71" t="s">
        <v>86</v>
      </c>
      <c r="B43" s="69"/>
      <c r="C43" s="69"/>
      <c r="D43" s="69"/>
      <c r="E43" s="69"/>
      <c r="F43" s="69"/>
      <c r="G43" s="69"/>
      <c r="H43" s="69"/>
    </row>
    <row r="44" spans="1:11" ht="14.5" x14ac:dyDescent="0.3">
      <c r="A44" s="71" t="s">
        <v>87</v>
      </c>
      <c r="B44" s="69"/>
      <c r="C44" s="69"/>
      <c r="D44" s="69"/>
      <c r="E44" s="69"/>
      <c r="F44" s="69"/>
      <c r="G44" s="69"/>
      <c r="H44" s="69"/>
    </row>
    <row r="45" spans="1:11" ht="14.5" x14ac:dyDescent="0.3">
      <c r="A45" s="71" t="s">
        <v>88</v>
      </c>
      <c r="B45" s="69"/>
      <c r="C45" s="69"/>
      <c r="D45" s="69"/>
      <c r="E45" s="69"/>
      <c r="F45" s="69"/>
      <c r="G45" s="69"/>
      <c r="H45" s="69"/>
    </row>
    <row r="46" spans="1:11" ht="14.5" x14ac:dyDescent="0.3">
      <c r="A46" s="71" t="s">
        <v>89</v>
      </c>
      <c r="B46" s="69"/>
      <c r="C46" s="69"/>
      <c r="D46" s="69"/>
      <c r="E46" s="69"/>
      <c r="F46" s="69"/>
      <c r="G46" s="69"/>
      <c r="H46" s="69"/>
    </row>
    <row r="47" spans="1:11" ht="14.5" x14ac:dyDescent="0.3">
      <c r="A47" s="71" t="s">
        <v>90</v>
      </c>
      <c r="B47" s="69"/>
      <c r="C47" s="69"/>
      <c r="D47" s="69"/>
      <c r="E47" s="69"/>
      <c r="F47" s="69"/>
      <c r="G47" s="69"/>
      <c r="H47" s="69"/>
    </row>
    <row r="48" spans="1:11" ht="14.5" x14ac:dyDescent="0.3">
      <c r="A48" s="71" t="s">
        <v>91</v>
      </c>
      <c r="B48" s="69"/>
      <c r="C48" s="69"/>
      <c r="D48" s="69"/>
      <c r="E48" s="69"/>
      <c r="F48" s="69"/>
      <c r="G48" s="69"/>
      <c r="H48" s="69"/>
    </row>
    <row r="49" spans="1:10" ht="14.5" x14ac:dyDescent="0.3">
      <c r="A49" s="71" t="s">
        <v>92</v>
      </c>
      <c r="B49" s="69"/>
      <c r="C49" s="69"/>
      <c r="D49" s="69"/>
      <c r="E49" s="69"/>
      <c r="F49" s="69"/>
      <c r="G49" s="69"/>
      <c r="H49" s="69"/>
    </row>
    <row r="51" spans="1:10" ht="15" x14ac:dyDescent="0.35">
      <c r="A51" s="9" t="s">
        <v>93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14.5" x14ac:dyDescent="0.3">
      <c r="A52" s="75" t="s">
        <v>94</v>
      </c>
      <c r="B52" s="69"/>
      <c r="C52" s="69"/>
      <c r="D52" s="69"/>
      <c r="E52" s="69"/>
      <c r="F52" s="69"/>
      <c r="G52" s="69"/>
      <c r="H52" s="69"/>
    </row>
    <row r="53" spans="1:10" ht="14.5" x14ac:dyDescent="0.3">
      <c r="A53" s="75" t="s">
        <v>95</v>
      </c>
      <c r="B53" s="69"/>
      <c r="C53" s="69"/>
      <c r="D53" s="69"/>
      <c r="E53" s="69"/>
      <c r="F53" s="69"/>
      <c r="G53" s="69"/>
      <c r="H53" s="69"/>
    </row>
    <row r="54" spans="1:10" ht="14.5" x14ac:dyDescent="0.3">
      <c r="A54" s="75" t="s">
        <v>96</v>
      </c>
      <c r="B54" s="69"/>
      <c r="C54" s="69"/>
      <c r="D54" s="69"/>
      <c r="E54" s="69"/>
      <c r="F54" s="69"/>
      <c r="G54" s="69"/>
      <c r="H54" s="69"/>
    </row>
    <row r="55" spans="1:10" ht="14.5" x14ac:dyDescent="0.3">
      <c r="A55" s="75" t="s">
        <v>97</v>
      </c>
      <c r="B55" s="69"/>
      <c r="C55" s="69"/>
      <c r="D55" s="69"/>
      <c r="E55" s="69"/>
      <c r="F55" s="69"/>
      <c r="G55" s="69"/>
      <c r="H55" s="69"/>
    </row>
    <row r="56" spans="1:10" ht="14.5" x14ac:dyDescent="0.3">
      <c r="A56" s="75" t="s">
        <v>98</v>
      </c>
      <c r="B56" s="69"/>
      <c r="C56" s="69"/>
      <c r="D56" s="69"/>
      <c r="E56" s="69"/>
      <c r="F56" s="69"/>
      <c r="G56" s="69"/>
      <c r="H56" s="69"/>
    </row>
    <row r="57" spans="1:10" ht="14.5" x14ac:dyDescent="0.3">
      <c r="A57" s="75" t="s">
        <v>99</v>
      </c>
      <c r="B57" s="69"/>
      <c r="C57" s="69"/>
      <c r="D57" s="69"/>
      <c r="E57" s="69"/>
      <c r="F57" s="69"/>
      <c r="G57" s="69"/>
      <c r="H57" s="69"/>
    </row>
    <row r="58" spans="1:10" ht="14.5" x14ac:dyDescent="0.3">
      <c r="A58" s="75" t="s">
        <v>100</v>
      </c>
      <c r="B58" s="69"/>
      <c r="C58" s="69"/>
      <c r="D58" s="69"/>
      <c r="E58" s="69"/>
      <c r="F58" s="69"/>
      <c r="G58" s="69"/>
      <c r="H58" s="69"/>
    </row>
    <row r="60" spans="1:10" x14ac:dyDescent="0.25">
      <c r="A60" s="7" t="s">
        <v>101</v>
      </c>
    </row>
    <row r="61" spans="1:10" ht="14.5" x14ac:dyDescent="0.3">
      <c r="A61" s="80" t="s">
        <v>102</v>
      </c>
      <c r="B61" s="69"/>
      <c r="C61" s="69"/>
      <c r="D61" s="69"/>
      <c r="E61" s="69"/>
      <c r="F61" s="69"/>
    </row>
    <row r="62" spans="1:10" ht="14.5" x14ac:dyDescent="0.3">
      <c r="A62" s="76" t="s">
        <v>103</v>
      </c>
      <c r="B62" s="69"/>
      <c r="C62" s="69"/>
      <c r="D62" s="69"/>
      <c r="E62" s="69"/>
      <c r="F62" s="69"/>
    </row>
    <row r="63" spans="1:10" ht="14.5" x14ac:dyDescent="0.3">
      <c r="A63" s="78" t="s">
        <v>104</v>
      </c>
      <c r="B63" s="69"/>
      <c r="C63" s="69"/>
      <c r="D63" s="69"/>
      <c r="E63" s="69"/>
      <c r="F63" s="69"/>
    </row>
    <row r="64" spans="1:10" ht="14.5" x14ac:dyDescent="0.3">
      <c r="A64" s="79" t="s">
        <v>105</v>
      </c>
      <c r="B64" s="69"/>
      <c r="C64" s="69"/>
      <c r="D64" s="69"/>
      <c r="E64" s="69"/>
      <c r="F64" s="69"/>
    </row>
    <row r="65" spans="1:6" ht="14.5" x14ac:dyDescent="0.3">
      <c r="A65" s="79" t="s">
        <v>106</v>
      </c>
      <c r="B65" s="69"/>
      <c r="C65" s="69"/>
      <c r="D65" s="69"/>
      <c r="E65" s="69"/>
      <c r="F65" s="69"/>
    </row>
    <row r="66" spans="1:6" x14ac:dyDescent="0.25">
      <c r="A66" s="69" t="s">
        <v>107</v>
      </c>
      <c r="B66" s="69"/>
      <c r="C66" s="69"/>
      <c r="D66" s="69"/>
      <c r="E66" s="69"/>
      <c r="F66" s="69"/>
    </row>
    <row r="68" spans="1:6" x14ac:dyDescent="0.25">
      <c r="A68" s="7" t="s">
        <v>108</v>
      </c>
    </row>
    <row r="69" spans="1:6" ht="14.5" x14ac:dyDescent="0.3">
      <c r="A69" s="74" t="s">
        <v>109</v>
      </c>
      <c r="B69" s="69"/>
      <c r="C69" s="69"/>
      <c r="D69" s="69"/>
      <c r="E69" s="69"/>
      <c r="F69" s="69"/>
    </row>
    <row r="70" spans="1:6" ht="14.5" x14ac:dyDescent="0.3">
      <c r="A70" s="74" t="s">
        <v>110</v>
      </c>
      <c r="B70" s="69"/>
      <c r="C70" s="69"/>
      <c r="D70" s="69"/>
      <c r="E70" s="69"/>
      <c r="F70" s="69"/>
    </row>
    <row r="71" spans="1:6" ht="14.5" x14ac:dyDescent="0.3">
      <c r="A71" s="74" t="s">
        <v>111</v>
      </c>
      <c r="B71" s="69"/>
      <c r="C71" s="69"/>
      <c r="D71" s="69"/>
      <c r="E71" s="69"/>
      <c r="F71" s="69"/>
    </row>
    <row r="72" spans="1:6" ht="14.5" x14ac:dyDescent="0.3">
      <c r="A72" s="74" t="s">
        <v>112</v>
      </c>
      <c r="B72" s="69"/>
      <c r="C72" s="69"/>
      <c r="D72" s="69"/>
      <c r="E72" s="69"/>
      <c r="F72" s="69"/>
    </row>
    <row r="73" spans="1:6" ht="14.5" x14ac:dyDescent="0.3">
      <c r="A73" s="74" t="s">
        <v>113</v>
      </c>
      <c r="B73" s="69"/>
      <c r="C73" s="69"/>
      <c r="D73" s="69"/>
      <c r="E73" s="69"/>
      <c r="F73" s="69"/>
    </row>
  </sheetData>
  <mergeCells count="28">
    <mergeCell ref="A73:F73"/>
    <mergeCell ref="A53:H53"/>
    <mergeCell ref="A43:H43"/>
    <mergeCell ref="A52:H52"/>
    <mergeCell ref="A70:F70"/>
    <mergeCell ref="A61:F61"/>
    <mergeCell ref="A44:H44"/>
    <mergeCell ref="A69:F69"/>
    <mergeCell ref="A58:H58"/>
    <mergeCell ref="A65:F65"/>
    <mergeCell ref="A72:F72"/>
    <mergeCell ref="A56:H56"/>
    <mergeCell ref="A1:J1"/>
    <mergeCell ref="A63:F63"/>
    <mergeCell ref="A55:H55"/>
    <mergeCell ref="A57:H57"/>
    <mergeCell ref="A42:H42"/>
    <mergeCell ref="A47:H47"/>
    <mergeCell ref="A64:F64"/>
    <mergeCell ref="A2:J2"/>
    <mergeCell ref="A48:H48"/>
    <mergeCell ref="A66:F66"/>
    <mergeCell ref="A49:H49"/>
    <mergeCell ref="A45:H45"/>
    <mergeCell ref="A71:F71"/>
    <mergeCell ref="A54:H54"/>
    <mergeCell ref="A62:F62"/>
    <mergeCell ref="A46:H46"/>
  </mergeCells>
  <phoneticPr fontId="2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K204"/>
  <sheetViews>
    <sheetView workbookViewId="0">
      <selection activeCell="K16" sqref="K16"/>
    </sheetView>
  </sheetViews>
  <sheetFormatPr defaultRowHeight="14" x14ac:dyDescent="0.25"/>
  <cols>
    <col min="1" max="1" width="42" customWidth="1"/>
    <col min="2" max="4" width="12" customWidth="1"/>
    <col min="5" max="5" width="2" customWidth="1"/>
    <col min="6" max="9" width="12" customWidth="1"/>
    <col min="10" max="10" width="2" customWidth="1"/>
    <col min="11" max="11" width="50" customWidth="1"/>
  </cols>
  <sheetData>
    <row r="1" spans="1:11" ht="18.5" x14ac:dyDescent="0.45">
      <c r="A1" s="77" t="s">
        <v>114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25">
      <c r="A2" s="21" t="s">
        <v>115</v>
      </c>
      <c r="B2" s="22" t="s">
        <v>116</v>
      </c>
    </row>
    <row r="4" spans="1:11" x14ac:dyDescent="0.25">
      <c r="A4" s="11"/>
      <c r="B4" s="12" t="s">
        <v>46</v>
      </c>
      <c r="C4" s="12" t="s">
        <v>47</v>
      </c>
      <c r="D4" s="12" t="s">
        <v>48</v>
      </c>
      <c r="E4" s="11"/>
      <c r="F4" s="12" t="s">
        <v>49</v>
      </c>
      <c r="G4" s="12" t="s">
        <v>50</v>
      </c>
      <c r="H4" s="12" t="s">
        <v>51</v>
      </c>
      <c r="I4" s="12" t="s">
        <v>117</v>
      </c>
      <c r="K4" s="12" t="s">
        <v>52</v>
      </c>
    </row>
    <row r="6" spans="1:11" ht="15" x14ac:dyDescent="0.35">
      <c r="A6" s="9" t="s">
        <v>118</v>
      </c>
      <c r="B6" s="10"/>
      <c r="C6" s="10"/>
      <c r="D6" s="10"/>
      <c r="E6" s="10"/>
      <c r="F6" s="10"/>
      <c r="G6" s="10"/>
      <c r="H6" s="10"/>
      <c r="I6" s="10"/>
      <c r="J6" s="10"/>
    </row>
    <row r="7" spans="1:11" x14ac:dyDescent="0.25">
      <c r="A7" s="7" t="s">
        <v>119</v>
      </c>
      <c r="B7" s="23">
        <v>3.8800000000000001E-2</v>
      </c>
      <c r="C7" s="23">
        <v>4.2500000000000003E-2</v>
      </c>
      <c r="D7" s="23">
        <v>4.4999999999999998E-2</v>
      </c>
      <c r="E7" s="10"/>
      <c r="F7" s="24">
        <v>4.4999999999999998E-2</v>
      </c>
      <c r="G7" s="24">
        <v>4.4999999999999998E-2</v>
      </c>
      <c r="H7" s="24">
        <v>4.4999999999999998E-2</v>
      </c>
      <c r="I7" s="25">
        <f>CHOOSE(MATCH($B$2,{"Base","Bull","Bear"},0),F7,G7,H7)</f>
        <v>4.4999999999999998E-2</v>
      </c>
      <c r="J7" s="10"/>
      <c r="K7" s="20" t="s">
        <v>120</v>
      </c>
    </row>
    <row r="8" spans="1:11" x14ac:dyDescent="0.25">
      <c r="A8" s="7" t="s">
        <v>121</v>
      </c>
      <c r="B8" s="23">
        <v>5.5E-2</v>
      </c>
      <c r="C8" s="23">
        <v>5.5E-2</v>
      </c>
      <c r="D8" s="23">
        <v>5.5E-2</v>
      </c>
      <c r="E8" s="10"/>
      <c r="F8" s="24">
        <v>5.5E-2</v>
      </c>
      <c r="G8" s="24">
        <v>5.5E-2</v>
      </c>
      <c r="H8" s="24">
        <v>5.5E-2</v>
      </c>
      <c r="I8" s="25">
        <f>CHOOSE(MATCH($B$2,{"Base","Bull","Bear"},0),F8,G8,H8)</f>
        <v>5.5E-2</v>
      </c>
      <c r="J8" s="10"/>
      <c r="K8" s="20" t="s">
        <v>122</v>
      </c>
    </row>
    <row r="9" spans="1:11" x14ac:dyDescent="0.25">
      <c r="A9" s="7" t="s">
        <v>123</v>
      </c>
      <c r="B9" s="26">
        <v>1.2</v>
      </c>
      <c r="C9" s="26">
        <v>1.35</v>
      </c>
      <c r="D9" s="26">
        <v>1.5</v>
      </c>
      <c r="E9" s="10"/>
      <c r="F9" s="27">
        <v>1.5</v>
      </c>
      <c r="G9" s="27">
        <v>1.3</v>
      </c>
      <c r="H9" s="27">
        <v>1.8</v>
      </c>
      <c r="I9" s="28">
        <f>CHOOSE(MATCH($B$2,{"Base","Bull","Bear"},0),F9,G9,H9)</f>
        <v>1.5</v>
      </c>
      <c r="J9" s="10"/>
      <c r="K9" s="20" t="s">
        <v>124</v>
      </c>
    </row>
    <row r="10" spans="1:11" x14ac:dyDescent="0.25">
      <c r="A10" s="7" t="s">
        <v>125</v>
      </c>
      <c r="B10" s="23">
        <v>4.8000000000000001E-2</v>
      </c>
      <c r="C10" s="23">
        <v>0.05</v>
      </c>
      <c r="D10" s="23">
        <v>0.05</v>
      </c>
      <c r="E10" s="10"/>
      <c r="F10" s="24">
        <v>0.05</v>
      </c>
      <c r="G10" s="24">
        <v>0.05</v>
      </c>
      <c r="H10" s="24">
        <v>0.05</v>
      </c>
      <c r="I10" s="25">
        <f>CHOOSE(MATCH($B$2,{"Base","Bull","Bear"},0),F10,G10,H10)</f>
        <v>0.05</v>
      </c>
      <c r="J10" s="10"/>
      <c r="K10" s="20" t="s">
        <v>126</v>
      </c>
    </row>
    <row r="11" spans="1:11" x14ac:dyDescent="0.25">
      <c r="A11" s="7" t="s">
        <v>127</v>
      </c>
      <c r="B11" s="29">
        <v>0.3</v>
      </c>
      <c r="C11" s="29">
        <v>0.32</v>
      </c>
      <c r="D11" s="29">
        <v>0.32</v>
      </c>
      <c r="E11" s="10"/>
      <c r="F11" s="30">
        <v>0.25</v>
      </c>
      <c r="G11" s="30">
        <v>0.2</v>
      </c>
      <c r="H11" s="30">
        <v>0.35</v>
      </c>
      <c r="I11" s="31">
        <f>CHOOSE(MATCH($B$2,{"Base","Bull","Bear"},0),F11,G11,H11)</f>
        <v>0.25</v>
      </c>
      <c r="J11" s="10"/>
      <c r="K11" s="20" t="s">
        <v>128</v>
      </c>
    </row>
    <row r="12" spans="1:11" ht="24" x14ac:dyDescent="0.25">
      <c r="A12" s="7" t="s">
        <v>129</v>
      </c>
      <c r="B12" s="10"/>
      <c r="C12" s="10"/>
      <c r="D12" s="10"/>
      <c r="E12" s="10"/>
      <c r="F12" s="24">
        <v>0.12</v>
      </c>
      <c r="G12" s="24">
        <v>0.11</v>
      </c>
      <c r="H12" s="24">
        <v>0.15</v>
      </c>
      <c r="I12" s="25">
        <f>CHOOSE(MATCH($B$2,{"Base","Bull","Bear"},0),F12,G12,H12)</f>
        <v>0.12</v>
      </c>
      <c r="J12" s="10"/>
      <c r="K12" s="20" t="s">
        <v>130</v>
      </c>
    </row>
    <row r="13" spans="1:11" x14ac:dyDescent="0.25">
      <c r="A13" s="7" t="s">
        <v>131</v>
      </c>
      <c r="B13" s="10"/>
      <c r="C13" s="10"/>
      <c r="D13" s="10"/>
      <c r="E13" s="10"/>
      <c r="F13" s="24">
        <v>2.5000000000000001E-2</v>
      </c>
      <c r="G13" s="24">
        <v>0.03</v>
      </c>
      <c r="H13" s="24">
        <v>0.02</v>
      </c>
      <c r="I13" s="25">
        <f>CHOOSE(MATCH($B$2,{"Base","Bull","Bear"},0),F13,G13,H13)</f>
        <v>2.5000000000000001E-2</v>
      </c>
      <c r="J13" s="10"/>
      <c r="K13" s="20" t="s">
        <v>132</v>
      </c>
    </row>
    <row r="15" spans="1:11" ht="15" x14ac:dyDescent="0.35">
      <c r="A15" s="9" t="s">
        <v>133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1" x14ac:dyDescent="0.25">
      <c r="A16" s="7" t="s">
        <v>134</v>
      </c>
      <c r="B16" s="32">
        <f>I7+I9*I8</f>
        <v>0.1275</v>
      </c>
      <c r="F16" s="32">
        <f>F7+F9*F8</f>
        <v>0.1275</v>
      </c>
      <c r="G16" s="32">
        <f>G7+G9*G8</f>
        <v>0.11650000000000001</v>
      </c>
      <c r="H16" s="32">
        <f>H7+H9*H8</f>
        <v>0.14400000000000002</v>
      </c>
      <c r="I16" s="25">
        <f>CHOOSE(MATCH($B$2,{"Base","Bull","Bear"},0),F16,G16,H16)</f>
        <v>0.1275</v>
      </c>
      <c r="K16" s="20" t="s">
        <v>135</v>
      </c>
    </row>
    <row r="17" spans="1:11" x14ac:dyDescent="0.25">
      <c r="A17" s="7" t="s">
        <v>136</v>
      </c>
      <c r="I17" s="32">
        <f>I10*(1-I12)</f>
        <v>4.4000000000000004E-2</v>
      </c>
      <c r="K17" s="20" t="s">
        <v>137</v>
      </c>
    </row>
    <row r="18" spans="1:11" x14ac:dyDescent="0.25">
      <c r="A18" s="7" t="s">
        <v>138</v>
      </c>
      <c r="I18" s="84">
        <f>I16*(1-I11)+I17*I11</f>
        <v>0.106625</v>
      </c>
      <c r="K18" s="20" t="s">
        <v>139</v>
      </c>
    </row>
    <row r="20" spans="1:11" ht="15" x14ac:dyDescent="0.35">
      <c r="A20" s="9" t="s">
        <v>140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1" x14ac:dyDescent="0.25">
      <c r="A21" s="7" t="s">
        <v>141</v>
      </c>
      <c r="K21" s="20" t="s">
        <v>142</v>
      </c>
    </row>
    <row r="22" spans="1:11" x14ac:dyDescent="0.25">
      <c r="A22" s="7" t="s">
        <v>143</v>
      </c>
    </row>
    <row r="24" spans="1:11" ht="15" x14ac:dyDescent="0.35">
      <c r="A24" s="9" t="s">
        <v>144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1" x14ac:dyDescent="0.25">
      <c r="A25" s="7" t="s">
        <v>145</v>
      </c>
      <c r="B25" s="10"/>
      <c r="C25" s="29">
        <v>3.2000000000000001E-2</v>
      </c>
      <c r="D25" s="29">
        <v>-3.4000000000000002E-2</v>
      </c>
      <c r="E25" s="10"/>
      <c r="F25" s="30">
        <v>0.02</v>
      </c>
      <c r="G25" s="30">
        <v>0.05</v>
      </c>
      <c r="H25" s="30">
        <v>-0.03</v>
      </c>
      <c r="I25" s="31">
        <f>CHOOSE(MATCH($B$2,{"Base","Bull","Bear"},0),F25,G25,H25)</f>
        <v>0.02</v>
      </c>
      <c r="J25" s="10"/>
      <c r="K25" s="20" t="s">
        <v>146</v>
      </c>
    </row>
    <row r="26" spans="1:11" x14ac:dyDescent="0.25">
      <c r="A26" s="7" t="s">
        <v>147</v>
      </c>
      <c r="B26" s="10"/>
      <c r="C26" s="29">
        <v>3.2000000000000001E-2</v>
      </c>
      <c r="D26" s="29">
        <v>-3.4000000000000002E-2</v>
      </c>
      <c r="E26" s="10"/>
      <c r="F26" s="30">
        <v>0.03</v>
      </c>
      <c r="G26" s="30">
        <v>0.06</v>
      </c>
      <c r="H26" s="30">
        <v>0</v>
      </c>
      <c r="I26" s="31">
        <f>CHOOSE(MATCH($B$2,{"Base","Bull","Bear"},0),F26,G26,H26)</f>
        <v>0.03</v>
      </c>
      <c r="J26" s="10"/>
      <c r="K26" s="20" t="s">
        <v>148</v>
      </c>
    </row>
    <row r="27" spans="1:11" x14ac:dyDescent="0.25">
      <c r="A27" s="7" t="s">
        <v>149</v>
      </c>
      <c r="B27" s="10"/>
      <c r="C27" s="29">
        <v>3.2000000000000001E-2</v>
      </c>
      <c r="D27" s="29">
        <v>-3.4000000000000002E-2</v>
      </c>
      <c r="E27" s="10"/>
      <c r="F27" s="30">
        <v>0.03</v>
      </c>
      <c r="G27" s="30">
        <v>0.05</v>
      </c>
      <c r="H27" s="30">
        <v>0.01</v>
      </c>
      <c r="I27" s="31">
        <f>CHOOSE(MATCH($B$2,{"Base","Bull","Bear"},0),F27,G27,H27)</f>
        <v>0.03</v>
      </c>
      <c r="J27" s="10"/>
      <c r="K27" s="20" t="s">
        <v>150</v>
      </c>
    </row>
    <row r="29" spans="1:11" x14ac:dyDescent="0.25">
      <c r="A29" s="7" t="s">
        <v>151</v>
      </c>
      <c r="B29" s="10"/>
      <c r="C29" s="29">
        <v>9.0000000000000011E-3</v>
      </c>
      <c r="D29" s="29">
        <v>4.9000000000000002E-2</v>
      </c>
      <c r="E29" s="10"/>
      <c r="F29" s="30">
        <v>0.18</v>
      </c>
      <c r="G29" s="30">
        <v>0.25</v>
      </c>
      <c r="H29" s="30">
        <v>0.1</v>
      </c>
      <c r="I29" s="31">
        <f>CHOOSE(MATCH($B$2,{"Base","Bull","Bear"},0),F29,G29,H29)</f>
        <v>0.18</v>
      </c>
      <c r="J29" s="10"/>
      <c r="K29" s="20" t="s">
        <v>152</v>
      </c>
    </row>
    <row r="30" spans="1:11" x14ac:dyDescent="0.25">
      <c r="A30" s="7" t="s">
        <v>153</v>
      </c>
      <c r="B30" s="10"/>
      <c r="C30" s="29">
        <v>9.0000000000000011E-3</v>
      </c>
      <c r="D30" s="29">
        <v>4.9000000000000002E-2</v>
      </c>
      <c r="E30" s="10"/>
      <c r="F30" s="30">
        <v>0.12</v>
      </c>
      <c r="G30" s="30">
        <v>0.18</v>
      </c>
      <c r="H30" s="30">
        <v>0.05</v>
      </c>
      <c r="I30" s="31">
        <f>CHOOSE(MATCH($B$2,{"Base","Bull","Bear"},0),F30,G30,H30)</f>
        <v>0.12</v>
      </c>
      <c r="J30" s="10"/>
      <c r="K30" s="20" t="s">
        <v>154</v>
      </c>
    </row>
    <row r="31" spans="1:11" x14ac:dyDescent="0.25">
      <c r="A31" s="7" t="s">
        <v>155</v>
      </c>
      <c r="B31" s="10"/>
      <c r="C31" s="29">
        <v>9.0000000000000011E-3</v>
      </c>
      <c r="D31" s="29">
        <v>4.9000000000000002E-2</v>
      </c>
      <c r="E31" s="10"/>
      <c r="F31" s="30">
        <v>0.08</v>
      </c>
      <c r="G31" s="30">
        <v>0.12</v>
      </c>
      <c r="H31" s="30">
        <v>0.02</v>
      </c>
      <c r="I31" s="31">
        <f>CHOOSE(MATCH($B$2,{"Base","Bull","Bear"},0),F31,G31,H31)</f>
        <v>0.08</v>
      </c>
      <c r="J31" s="10"/>
      <c r="K31" s="20" t="s">
        <v>156</v>
      </c>
    </row>
    <row r="33" spans="1:11" x14ac:dyDescent="0.25">
      <c r="A33" s="7" t="s">
        <v>157</v>
      </c>
      <c r="B33" s="10"/>
      <c r="C33" s="29">
        <v>-6.4000000000000001E-2</v>
      </c>
      <c r="D33" s="29">
        <v>2.9000000000000001E-2</v>
      </c>
      <c r="E33" s="10"/>
      <c r="F33" s="30">
        <v>0.12</v>
      </c>
      <c r="G33" s="30">
        <v>0.18</v>
      </c>
      <c r="H33" s="30">
        <v>0.05</v>
      </c>
      <c r="I33" s="31">
        <f>CHOOSE(MATCH($B$2,{"Base","Bull","Bear"},0),F33,G33,H33)</f>
        <v>0.12</v>
      </c>
      <c r="J33" s="10"/>
      <c r="K33" s="20" t="s">
        <v>158</v>
      </c>
    </row>
    <row r="34" spans="1:11" x14ac:dyDescent="0.25">
      <c r="A34" s="7" t="s">
        <v>159</v>
      </c>
      <c r="B34" s="10"/>
      <c r="C34" s="29">
        <v>-6.4000000000000001E-2</v>
      </c>
      <c r="D34" s="29">
        <v>2.9000000000000001E-2</v>
      </c>
      <c r="E34" s="10"/>
      <c r="F34" s="30">
        <v>0.1</v>
      </c>
      <c r="G34" s="30">
        <v>0.2</v>
      </c>
      <c r="H34" s="30">
        <v>0.03</v>
      </c>
      <c r="I34" s="31">
        <f>CHOOSE(MATCH($B$2,{"Base","Bull","Bear"},0),F34,G34,H34)</f>
        <v>0.1</v>
      </c>
      <c r="J34" s="10"/>
      <c r="K34" s="20" t="s">
        <v>160</v>
      </c>
    </row>
    <row r="35" spans="1:11" x14ac:dyDescent="0.25">
      <c r="A35" s="7" t="s">
        <v>161</v>
      </c>
      <c r="B35" s="10"/>
      <c r="C35" s="29">
        <v>-6.4000000000000001E-2</v>
      </c>
      <c r="D35" s="29">
        <v>2.9000000000000001E-2</v>
      </c>
      <c r="E35" s="10"/>
      <c r="F35" s="30">
        <v>0.1</v>
      </c>
      <c r="G35" s="30">
        <v>0.18</v>
      </c>
      <c r="H35" s="30">
        <v>0.03</v>
      </c>
      <c r="I35" s="31">
        <f>CHOOSE(MATCH($B$2,{"Base","Bull","Bear"},0),F35,G35,H35)</f>
        <v>0.1</v>
      </c>
      <c r="J35" s="10"/>
      <c r="K35" s="20" t="s">
        <v>162</v>
      </c>
    </row>
    <row r="37" spans="1:11" x14ac:dyDescent="0.25">
      <c r="A37" s="7" t="s">
        <v>163</v>
      </c>
      <c r="B37" s="10"/>
      <c r="C37" s="29">
        <v>-0.34100000000000003</v>
      </c>
      <c r="D37" s="29">
        <v>-1.0999999999999999E-2</v>
      </c>
      <c r="E37" s="10"/>
      <c r="F37" s="30">
        <v>-0.05</v>
      </c>
      <c r="G37" s="30">
        <v>0.05</v>
      </c>
      <c r="H37" s="30">
        <v>-0.15</v>
      </c>
      <c r="I37" s="31">
        <f>CHOOSE(MATCH($B$2,{"Base","Bull","Bear"},0),F37,G37,H37)</f>
        <v>-0.05</v>
      </c>
      <c r="J37" s="10"/>
      <c r="K37" s="20" t="s">
        <v>164</v>
      </c>
    </row>
    <row r="38" spans="1:11" x14ac:dyDescent="0.25">
      <c r="A38" s="7" t="s">
        <v>165</v>
      </c>
      <c r="B38" s="10"/>
      <c r="C38" s="29">
        <v>-0.34100000000000003</v>
      </c>
      <c r="D38" s="29">
        <v>-1.0999999999999999E-2</v>
      </c>
      <c r="E38" s="10"/>
      <c r="F38" s="30">
        <v>0.08</v>
      </c>
      <c r="G38" s="30">
        <v>0.15</v>
      </c>
      <c r="H38" s="30">
        <v>-0.05</v>
      </c>
      <c r="I38" s="31">
        <f>CHOOSE(MATCH($B$2,{"Base","Bull","Bear"},0),F38,G38,H38)</f>
        <v>0.08</v>
      </c>
      <c r="J38" s="10"/>
      <c r="K38" s="20" t="s">
        <v>166</v>
      </c>
    </row>
    <row r="39" spans="1:11" x14ac:dyDescent="0.25">
      <c r="A39" s="7" t="s">
        <v>167</v>
      </c>
      <c r="B39" s="10"/>
      <c r="C39" s="29">
        <v>-0.34100000000000003</v>
      </c>
      <c r="D39" s="29">
        <v>-1.0999999999999999E-2</v>
      </c>
      <c r="E39" s="10"/>
      <c r="F39" s="30">
        <v>0.08</v>
      </c>
      <c r="G39" s="30">
        <v>0.12</v>
      </c>
      <c r="H39" s="30">
        <v>0.02</v>
      </c>
      <c r="I39" s="31">
        <f>CHOOSE(MATCH($B$2,{"Base","Bull","Bear"},0),F39,G39,H39)</f>
        <v>0.08</v>
      </c>
      <c r="J39" s="10"/>
      <c r="K39" s="20" t="s">
        <v>168</v>
      </c>
    </row>
    <row r="42" spans="1:11" ht="15" x14ac:dyDescent="0.35">
      <c r="A42" s="9" t="s">
        <v>169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1" x14ac:dyDescent="0.25">
      <c r="A43" s="7" t="s">
        <v>170</v>
      </c>
    </row>
    <row r="44" spans="1:11" ht="24" x14ac:dyDescent="0.25">
      <c r="A44" s="7" t="s">
        <v>171</v>
      </c>
      <c r="B44" s="10"/>
      <c r="C44" s="33">
        <v>241.8</v>
      </c>
      <c r="D44" s="33">
        <v>245.4</v>
      </c>
      <c r="E44" s="10"/>
      <c r="F44" s="34">
        <v>260</v>
      </c>
      <c r="G44" s="34">
        <v>270</v>
      </c>
      <c r="H44" s="34">
        <v>250</v>
      </c>
      <c r="I44" s="35">
        <f>CHOOSE(MATCH($B$2,{"Base","Bull","Bear"},0),F44,G44,H44)</f>
        <v>260</v>
      </c>
      <c r="J44" s="10"/>
      <c r="K44" s="20" t="s">
        <v>172</v>
      </c>
    </row>
    <row r="45" spans="1:11" x14ac:dyDescent="0.25">
      <c r="A45" s="7" t="s">
        <v>173</v>
      </c>
      <c r="B45" s="10"/>
      <c r="C45" s="10"/>
      <c r="D45" s="10"/>
      <c r="E45" s="10"/>
      <c r="F45" s="34">
        <v>265</v>
      </c>
      <c r="G45" s="34">
        <v>280</v>
      </c>
      <c r="H45" s="34">
        <v>252</v>
      </c>
      <c r="I45" s="35">
        <f>CHOOSE(MATCH($B$2,{"Base","Bull","Bear"},0),F45,G45,H45)</f>
        <v>265</v>
      </c>
      <c r="J45" s="10"/>
      <c r="K45" s="20" t="s">
        <v>174</v>
      </c>
    </row>
    <row r="46" spans="1:11" x14ac:dyDescent="0.25">
      <c r="A46" s="7" t="s">
        <v>175</v>
      </c>
      <c r="B46" s="10"/>
      <c r="C46" s="10"/>
      <c r="D46" s="10"/>
      <c r="E46" s="10"/>
      <c r="F46" s="34">
        <v>270</v>
      </c>
      <c r="G46" s="34">
        <v>290</v>
      </c>
      <c r="H46" s="34">
        <v>255</v>
      </c>
      <c r="I46" s="35">
        <f>CHOOSE(MATCH($B$2,{"Base","Bull","Bear"},0),F46,G46,H46)</f>
        <v>270</v>
      </c>
      <c r="J46" s="10"/>
      <c r="K46" s="20" t="s">
        <v>176</v>
      </c>
    </row>
    <row r="48" spans="1:11" x14ac:dyDescent="0.25">
      <c r="A48" s="7" t="s">
        <v>177</v>
      </c>
    </row>
    <row r="49" spans="1:11" ht="24" x14ac:dyDescent="0.25">
      <c r="A49" s="7" t="s">
        <v>178</v>
      </c>
      <c r="B49" s="10"/>
      <c r="C49" s="29">
        <v>0.71</v>
      </c>
      <c r="D49" s="29">
        <v>0.71499999999999997</v>
      </c>
      <c r="E49" s="10"/>
      <c r="F49" s="30">
        <v>0.72</v>
      </c>
      <c r="G49" s="30">
        <v>0.74</v>
      </c>
      <c r="H49" s="30">
        <v>0.7</v>
      </c>
      <c r="I49" s="31">
        <f>CHOOSE(MATCH($B$2,{"Base","Bull","Bear"},0),F49,G49,H49)</f>
        <v>0.72</v>
      </c>
      <c r="J49" s="10"/>
      <c r="K49" s="20" t="s">
        <v>179</v>
      </c>
    </row>
    <row r="50" spans="1:11" x14ac:dyDescent="0.25">
      <c r="A50" s="7" t="s">
        <v>180</v>
      </c>
      <c r="B50" s="10"/>
      <c r="C50" s="10"/>
      <c r="D50" s="10"/>
      <c r="E50" s="10"/>
      <c r="F50" s="30">
        <v>0.72499999999999998</v>
      </c>
      <c r="G50" s="30">
        <v>0.75</v>
      </c>
      <c r="H50" s="30">
        <v>0.69</v>
      </c>
      <c r="I50" s="31">
        <f>CHOOSE(MATCH($B$2,{"Base","Bull","Bear"},0),F50,G50,H50)</f>
        <v>0.72499999999999998</v>
      </c>
      <c r="J50" s="10"/>
      <c r="K50" s="20" t="s">
        <v>181</v>
      </c>
    </row>
    <row r="51" spans="1:11" x14ac:dyDescent="0.25">
      <c r="A51" s="7" t="s">
        <v>182</v>
      </c>
      <c r="B51" s="10"/>
      <c r="C51" s="10"/>
      <c r="D51" s="10"/>
      <c r="E51" s="10"/>
      <c r="F51" s="30">
        <v>0.73</v>
      </c>
      <c r="G51" s="30">
        <v>0.76</v>
      </c>
      <c r="H51" s="30">
        <v>0.68</v>
      </c>
      <c r="I51" s="31">
        <f>CHOOSE(MATCH($B$2,{"Base","Bull","Bear"},0),F51,G51,H51)</f>
        <v>0.73</v>
      </c>
      <c r="J51" s="10"/>
      <c r="K51" s="20" t="s">
        <v>183</v>
      </c>
    </row>
    <row r="53" spans="1:11" ht="26" x14ac:dyDescent="0.25">
      <c r="A53" s="7" t="s">
        <v>184</v>
      </c>
    </row>
    <row r="54" spans="1:11" ht="24" x14ac:dyDescent="0.25">
      <c r="A54" s="7" t="s">
        <v>185</v>
      </c>
      <c r="B54" s="10"/>
      <c r="C54" s="36">
        <v>188</v>
      </c>
      <c r="D54" s="36">
        <v>190</v>
      </c>
      <c r="E54" s="10"/>
      <c r="F54" s="37">
        <v>175</v>
      </c>
      <c r="G54" s="37">
        <v>180</v>
      </c>
      <c r="H54" s="37">
        <v>170</v>
      </c>
      <c r="I54" s="38">
        <f>CHOOSE(MATCH($B$2,{"Base","Bull","Bear"},0),F54,G54,H54)</f>
        <v>175</v>
      </c>
      <c r="J54" s="10"/>
      <c r="K54" s="20" t="s">
        <v>186</v>
      </c>
    </row>
    <row r="55" spans="1:11" x14ac:dyDescent="0.25">
      <c r="A55" s="7" t="s">
        <v>187</v>
      </c>
      <c r="B55" s="10"/>
      <c r="C55" s="10"/>
      <c r="D55" s="10"/>
      <c r="E55" s="10"/>
      <c r="F55" s="37">
        <v>182</v>
      </c>
      <c r="G55" s="37">
        <v>190</v>
      </c>
      <c r="H55" s="37">
        <v>172</v>
      </c>
      <c r="I55" s="38">
        <f>CHOOSE(MATCH($B$2,{"Base","Bull","Bear"},0),F55,G55,H55)</f>
        <v>182</v>
      </c>
      <c r="J55" s="10"/>
      <c r="K55" s="20" t="s">
        <v>188</v>
      </c>
    </row>
    <row r="56" spans="1:11" x14ac:dyDescent="0.25">
      <c r="A56" s="7" t="s">
        <v>189</v>
      </c>
      <c r="B56" s="10"/>
      <c r="C56" s="10"/>
      <c r="D56" s="10"/>
      <c r="E56" s="10"/>
      <c r="F56" s="37">
        <v>184</v>
      </c>
      <c r="G56" s="37">
        <v>195</v>
      </c>
      <c r="H56" s="37">
        <v>174</v>
      </c>
      <c r="I56" s="38">
        <f>CHOOSE(MATCH($B$2,{"Base","Bull","Bear"},0),F56,G56,H56)</f>
        <v>184</v>
      </c>
      <c r="J56" s="10"/>
      <c r="K56" s="20" t="s">
        <v>190</v>
      </c>
    </row>
    <row r="58" spans="1:11" ht="15" x14ac:dyDescent="0.35">
      <c r="A58" s="9" t="s">
        <v>191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1" x14ac:dyDescent="0.25">
      <c r="A59" s="7" t="s">
        <v>192</v>
      </c>
    </row>
    <row r="60" spans="1:11" x14ac:dyDescent="0.25">
      <c r="A60" s="7" t="s">
        <v>193</v>
      </c>
      <c r="B60" s="10"/>
      <c r="C60" s="33">
        <v>11.5</v>
      </c>
      <c r="D60" s="33">
        <v>12</v>
      </c>
      <c r="E60" s="10"/>
      <c r="F60" s="34">
        <v>13.5</v>
      </c>
      <c r="G60" s="34">
        <v>14.5</v>
      </c>
      <c r="H60" s="34">
        <v>12.5</v>
      </c>
      <c r="I60" s="35">
        <f>CHOOSE(MATCH($B$2,{"Base","Bull","Bear"},0),F60,G60,H60)</f>
        <v>13.5</v>
      </c>
      <c r="J60" s="10"/>
      <c r="K60" s="20" t="s">
        <v>194</v>
      </c>
    </row>
    <row r="61" spans="1:11" x14ac:dyDescent="0.25">
      <c r="A61" s="7" t="s">
        <v>195</v>
      </c>
      <c r="B61" s="10"/>
      <c r="C61" s="10"/>
      <c r="D61" s="10"/>
      <c r="E61" s="10"/>
      <c r="F61" s="34">
        <v>14.5</v>
      </c>
      <c r="G61" s="34">
        <v>16</v>
      </c>
      <c r="H61" s="34">
        <v>13</v>
      </c>
      <c r="I61" s="35">
        <f>CHOOSE(MATCH($B$2,{"Base","Bull","Bear"},0),F61,G61,H61)</f>
        <v>14.5</v>
      </c>
      <c r="J61" s="10"/>
      <c r="K61" s="20" t="s">
        <v>196</v>
      </c>
    </row>
    <row r="62" spans="1:11" x14ac:dyDescent="0.25">
      <c r="A62" s="7" t="s">
        <v>197</v>
      </c>
      <c r="B62" s="10"/>
      <c r="C62" s="10"/>
      <c r="D62" s="10"/>
      <c r="E62" s="10"/>
      <c r="F62" s="34">
        <v>15.5</v>
      </c>
      <c r="G62" s="34">
        <v>17.5</v>
      </c>
      <c r="H62" s="34">
        <v>13.5</v>
      </c>
      <c r="I62" s="35">
        <f>CHOOSE(MATCH($B$2,{"Base","Bull","Bear"},0),F62,G62,H62)</f>
        <v>15.5</v>
      </c>
      <c r="J62" s="10"/>
      <c r="K62" s="20" t="s">
        <v>198</v>
      </c>
    </row>
    <row r="64" spans="1:11" ht="26" x14ac:dyDescent="0.25">
      <c r="A64" s="7" t="s">
        <v>199</v>
      </c>
    </row>
    <row r="65" spans="1:11" ht="24" x14ac:dyDescent="0.25">
      <c r="A65" s="7" t="s">
        <v>200</v>
      </c>
      <c r="B65" s="10"/>
      <c r="C65" s="29">
        <v>0.76</v>
      </c>
      <c r="D65" s="29">
        <v>0.73</v>
      </c>
      <c r="E65" s="10"/>
      <c r="F65" s="30">
        <v>0.7</v>
      </c>
      <c r="G65" s="30">
        <v>0.72</v>
      </c>
      <c r="H65" s="30">
        <v>0.67</v>
      </c>
      <c r="I65" s="31">
        <f>CHOOSE(MATCH($B$2,{"Base","Bull","Bear"},0),F65,G65,H65)</f>
        <v>0.7</v>
      </c>
      <c r="J65" s="10"/>
      <c r="K65" s="20" t="s">
        <v>201</v>
      </c>
    </row>
    <row r="66" spans="1:11" x14ac:dyDescent="0.25">
      <c r="A66" s="7" t="s">
        <v>202</v>
      </c>
      <c r="B66" s="10"/>
      <c r="C66" s="10"/>
      <c r="D66" s="10"/>
      <c r="E66" s="10"/>
      <c r="F66" s="30">
        <v>0.7</v>
      </c>
      <c r="G66" s="30">
        <v>0.73</v>
      </c>
      <c r="H66" s="30">
        <v>0.65</v>
      </c>
      <c r="I66" s="31">
        <f>CHOOSE(MATCH($B$2,{"Base","Bull","Bear"},0),F66,G66,H66)</f>
        <v>0.7</v>
      </c>
      <c r="J66" s="10"/>
      <c r="K66" s="20" t="s">
        <v>203</v>
      </c>
    </row>
    <row r="67" spans="1:11" x14ac:dyDescent="0.25">
      <c r="A67" s="7" t="s">
        <v>204</v>
      </c>
      <c r="B67" s="10"/>
      <c r="C67" s="10"/>
      <c r="D67" s="10"/>
      <c r="E67" s="10"/>
      <c r="F67" s="30">
        <v>0.7</v>
      </c>
      <c r="G67" s="30">
        <v>0.74</v>
      </c>
      <c r="H67" s="30">
        <v>0.63</v>
      </c>
      <c r="I67" s="31">
        <f>CHOOSE(MATCH($B$2,{"Base","Bull","Bear"},0),F67,G67,H67)</f>
        <v>0.7</v>
      </c>
      <c r="J67" s="10"/>
      <c r="K67" s="20" t="s">
        <v>205</v>
      </c>
    </row>
    <row r="69" spans="1:11" ht="26" x14ac:dyDescent="0.25">
      <c r="A69" s="7" t="s">
        <v>206</v>
      </c>
    </row>
    <row r="70" spans="1:11" x14ac:dyDescent="0.25">
      <c r="A70" s="7" t="s">
        <v>207</v>
      </c>
      <c r="B70" s="10"/>
      <c r="C70" s="39">
        <v>1770</v>
      </c>
      <c r="D70" s="39">
        <v>1650</v>
      </c>
      <c r="E70" s="10"/>
      <c r="F70" s="40">
        <v>1600</v>
      </c>
      <c r="G70" s="40">
        <v>1750</v>
      </c>
      <c r="H70" s="40">
        <v>1500</v>
      </c>
      <c r="I70" s="41">
        <f>CHOOSE(MATCH($B$2,{"Base","Bull","Bear"},0),F70,G70,H70)</f>
        <v>1600</v>
      </c>
      <c r="J70" s="10"/>
      <c r="K70" s="20" t="s">
        <v>208</v>
      </c>
    </row>
    <row r="71" spans="1:11" x14ac:dyDescent="0.25">
      <c r="A71" s="7" t="s">
        <v>209</v>
      </c>
      <c r="B71" s="10"/>
      <c r="C71" s="10"/>
      <c r="D71" s="10"/>
      <c r="E71" s="10"/>
      <c r="F71" s="40">
        <v>1700</v>
      </c>
      <c r="G71" s="40">
        <v>1850</v>
      </c>
      <c r="H71" s="40">
        <v>1550</v>
      </c>
      <c r="I71" s="41">
        <f>CHOOSE(MATCH($B$2,{"Base","Bull","Bear"},0),F71,G71,H71)</f>
        <v>1700</v>
      </c>
      <c r="J71" s="10"/>
      <c r="K71" s="20" t="s">
        <v>210</v>
      </c>
    </row>
    <row r="72" spans="1:11" x14ac:dyDescent="0.25">
      <c r="A72" s="7" t="s">
        <v>211</v>
      </c>
      <c r="B72" s="10"/>
      <c r="C72" s="10"/>
      <c r="D72" s="10"/>
      <c r="E72" s="10"/>
      <c r="F72" s="40">
        <v>1750</v>
      </c>
      <c r="G72" s="40">
        <v>1950</v>
      </c>
      <c r="H72" s="40">
        <v>1580</v>
      </c>
      <c r="I72" s="41">
        <f>CHOOSE(MATCH($B$2,{"Base","Bull","Bear"},0),F72,G72,H72)</f>
        <v>1750</v>
      </c>
      <c r="J72" s="10"/>
      <c r="K72" s="20" t="s">
        <v>212</v>
      </c>
    </row>
    <row r="74" spans="1:11" ht="26" x14ac:dyDescent="0.25">
      <c r="A74" s="7" t="s">
        <v>213</v>
      </c>
    </row>
    <row r="75" spans="1:11" ht="24" x14ac:dyDescent="0.25">
      <c r="A75" s="7" t="s">
        <v>214</v>
      </c>
      <c r="B75" s="10"/>
      <c r="C75" s="42">
        <v>500</v>
      </c>
      <c r="D75" s="42">
        <v>800</v>
      </c>
      <c r="E75" s="10"/>
      <c r="F75" s="43">
        <v>2800</v>
      </c>
      <c r="G75" s="43">
        <v>3500</v>
      </c>
      <c r="H75" s="43">
        <v>2000</v>
      </c>
      <c r="I75" s="44">
        <f>CHOOSE(MATCH($B$2,{"Base","Bull","Bear"},0),F75,G75,H75)</f>
        <v>2800</v>
      </c>
      <c r="J75" s="10"/>
      <c r="K75" s="20" t="s">
        <v>215</v>
      </c>
    </row>
    <row r="76" spans="1:11" x14ac:dyDescent="0.25">
      <c r="A76" s="7" t="s">
        <v>216</v>
      </c>
      <c r="B76" s="10"/>
      <c r="C76" s="10"/>
      <c r="D76" s="10"/>
      <c r="E76" s="10"/>
      <c r="F76" s="43">
        <v>4500</v>
      </c>
      <c r="G76" s="43">
        <v>6000</v>
      </c>
      <c r="H76" s="43">
        <v>3000</v>
      </c>
      <c r="I76" s="44">
        <f>CHOOSE(MATCH($B$2,{"Base","Bull","Bear"},0),F76,G76,H76)</f>
        <v>4500</v>
      </c>
      <c r="J76" s="10"/>
      <c r="K76" s="20" t="s">
        <v>217</v>
      </c>
    </row>
    <row r="77" spans="1:11" x14ac:dyDescent="0.25">
      <c r="A77" s="7" t="s">
        <v>218</v>
      </c>
      <c r="B77" s="10"/>
      <c r="C77" s="10"/>
      <c r="D77" s="10"/>
      <c r="E77" s="10"/>
      <c r="F77" s="43">
        <v>6000</v>
      </c>
      <c r="G77" s="43">
        <v>8500</v>
      </c>
      <c r="H77" s="43">
        <v>3800</v>
      </c>
      <c r="I77" s="44">
        <f>CHOOSE(MATCH($B$2,{"Base","Bull","Bear"},0),F77,G77,H77)</f>
        <v>6000</v>
      </c>
      <c r="J77" s="10"/>
      <c r="K77" s="20" t="s">
        <v>219</v>
      </c>
    </row>
    <row r="78" spans="1:11" ht="15" x14ac:dyDescent="0.35">
      <c r="A78" s="9" t="s">
        <v>220</v>
      </c>
      <c r="B78" s="10"/>
      <c r="C78" s="10"/>
      <c r="D78" s="10"/>
      <c r="E78" s="10"/>
      <c r="F78" s="10"/>
      <c r="G78" s="10"/>
      <c r="H78" s="10"/>
      <c r="I78" s="10"/>
      <c r="J78" s="10"/>
    </row>
    <row r="79" spans="1:11" x14ac:dyDescent="0.25">
      <c r="A79" s="7" t="s">
        <v>221</v>
      </c>
      <c r="B79" s="29">
        <v>0.314</v>
      </c>
      <c r="C79" s="29">
        <v>0.34799999999999998</v>
      </c>
      <c r="D79" s="29">
        <v>0.28899999999999998</v>
      </c>
      <c r="E79" s="10"/>
      <c r="F79" s="30">
        <v>0.3</v>
      </c>
      <c r="G79" s="30">
        <v>0.33</v>
      </c>
      <c r="H79" s="30">
        <v>0.27</v>
      </c>
      <c r="I79" s="31">
        <f>CHOOSE(MATCH($B$2,{"Base","Bull","Bear"},0),F79,G79,H79)</f>
        <v>0.3</v>
      </c>
      <c r="J79" s="10"/>
      <c r="K79" s="20" t="s">
        <v>222</v>
      </c>
    </row>
    <row r="80" spans="1:11" x14ac:dyDescent="0.25">
      <c r="A80" s="7" t="s">
        <v>223</v>
      </c>
      <c r="B80" s="29">
        <v>0.314</v>
      </c>
      <c r="C80" s="29">
        <v>0.34799999999999998</v>
      </c>
      <c r="D80" s="29">
        <v>0.28899999999999998</v>
      </c>
      <c r="E80" s="10"/>
      <c r="F80" s="30">
        <v>0.315</v>
      </c>
      <c r="G80" s="30">
        <v>0.36</v>
      </c>
      <c r="H80" s="30">
        <v>0.27</v>
      </c>
      <c r="I80" s="31">
        <f>CHOOSE(MATCH($B$2,{"Base","Bull","Bear"},0),F80,G80,H80)</f>
        <v>0.315</v>
      </c>
      <c r="J80" s="10"/>
      <c r="K80" s="20" t="s">
        <v>224</v>
      </c>
    </row>
    <row r="81" spans="1:11" x14ac:dyDescent="0.25">
      <c r="A81" s="7" t="s">
        <v>225</v>
      </c>
      <c r="B81" s="29">
        <v>0.314</v>
      </c>
      <c r="C81" s="29">
        <v>0.34799999999999998</v>
      </c>
      <c r="D81" s="29">
        <v>0.28899999999999998</v>
      </c>
      <c r="E81" s="10"/>
      <c r="F81" s="30">
        <v>0.33</v>
      </c>
      <c r="G81" s="30">
        <v>0.38</v>
      </c>
      <c r="H81" s="30">
        <v>0.28000000000000003</v>
      </c>
      <c r="I81" s="31">
        <f>CHOOSE(MATCH($B$2,{"Base","Bull","Bear"},0),F81,G81,H81)</f>
        <v>0.33</v>
      </c>
      <c r="J81" s="10"/>
      <c r="K81" s="20" t="s">
        <v>226</v>
      </c>
    </row>
    <row r="83" spans="1:11" x14ac:dyDescent="0.25">
      <c r="A83" s="7" t="s">
        <v>227</v>
      </c>
      <c r="B83" s="29">
        <v>5.8999999999999997E-2</v>
      </c>
      <c r="C83" s="29">
        <v>8.8000000000000009E-2</v>
      </c>
      <c r="D83" s="29">
        <v>0.20200000000000001</v>
      </c>
      <c r="E83" s="10"/>
      <c r="F83" s="30">
        <v>0.28000000000000003</v>
      </c>
      <c r="G83" s="30">
        <v>0.32</v>
      </c>
      <c r="H83" s="30">
        <v>0.22</v>
      </c>
      <c r="I83" s="31">
        <f>CHOOSE(MATCH($B$2,{"Base","Bull","Bear"},0),F83,G83,H83)</f>
        <v>0.28000000000000003</v>
      </c>
      <c r="J83" s="10"/>
      <c r="K83" s="20" t="s">
        <v>228</v>
      </c>
    </row>
    <row r="84" spans="1:11" x14ac:dyDescent="0.25">
      <c r="A84" s="7" t="s">
        <v>229</v>
      </c>
      <c r="B84" s="29">
        <v>5.8999999999999997E-2</v>
      </c>
      <c r="C84" s="29">
        <v>8.8000000000000009E-2</v>
      </c>
      <c r="D84" s="29">
        <v>0.20200000000000001</v>
      </c>
      <c r="E84" s="10"/>
      <c r="F84" s="30">
        <v>0.28000000000000003</v>
      </c>
      <c r="G84" s="30">
        <v>0.33</v>
      </c>
      <c r="H84" s="30">
        <v>0.2</v>
      </c>
      <c r="I84" s="31">
        <f>CHOOSE(MATCH($B$2,{"Base","Bull","Bear"},0),F84,G84,H84)</f>
        <v>0.28000000000000003</v>
      </c>
      <c r="J84" s="10"/>
      <c r="K84" s="20" t="s">
        <v>230</v>
      </c>
    </row>
    <row r="85" spans="1:11" x14ac:dyDescent="0.25">
      <c r="A85" s="7" t="s">
        <v>231</v>
      </c>
      <c r="B85" s="29">
        <v>5.8999999999999997E-2</v>
      </c>
      <c r="C85" s="29">
        <v>8.8000000000000009E-2</v>
      </c>
      <c r="D85" s="29">
        <v>0.20200000000000001</v>
      </c>
      <c r="E85" s="10"/>
      <c r="F85" s="30">
        <v>0.27</v>
      </c>
      <c r="G85" s="30">
        <v>0.32</v>
      </c>
      <c r="H85" s="30">
        <v>0.18</v>
      </c>
      <c r="I85" s="31">
        <f>CHOOSE(MATCH($B$2,{"Base","Bull","Bear"},0),F85,G85,H85)</f>
        <v>0.27</v>
      </c>
      <c r="J85" s="10"/>
      <c r="K85" s="20" t="s">
        <v>232</v>
      </c>
    </row>
    <row r="87" spans="1:11" x14ac:dyDescent="0.25">
      <c r="A87" s="7" t="s">
        <v>233</v>
      </c>
      <c r="B87" s="29">
        <v>-0.38300000000000001</v>
      </c>
      <c r="C87" s="29">
        <v>-0.76700000000000002</v>
      </c>
      <c r="D87" s="29">
        <v>-0.57899999999999996</v>
      </c>
      <c r="E87" s="10"/>
      <c r="F87" s="30">
        <v>-0.42</v>
      </c>
      <c r="G87" s="30">
        <v>-0.35</v>
      </c>
      <c r="H87" s="30">
        <v>-0.5</v>
      </c>
      <c r="I87" s="31">
        <f>CHOOSE(MATCH($B$2,{"Base","Bull","Bear"},0),F87,G87,H87)</f>
        <v>-0.42</v>
      </c>
      <c r="J87" s="10"/>
      <c r="K87" s="20" t="s">
        <v>234</v>
      </c>
    </row>
    <row r="88" spans="1:11" x14ac:dyDescent="0.25">
      <c r="A88" s="7" t="s">
        <v>235</v>
      </c>
      <c r="B88" s="29">
        <v>-0.38300000000000001</v>
      </c>
      <c r="C88" s="29">
        <v>-0.76700000000000002</v>
      </c>
      <c r="D88" s="29">
        <v>-0.57899999999999996</v>
      </c>
      <c r="E88" s="10"/>
      <c r="F88" s="30">
        <v>-0.32</v>
      </c>
      <c r="G88" s="30">
        <v>-0.2</v>
      </c>
      <c r="H88" s="30">
        <v>-0.45</v>
      </c>
      <c r="I88" s="31">
        <f>CHOOSE(MATCH($B$2,{"Base","Bull","Bear"},0),F88,G88,H88)</f>
        <v>-0.32</v>
      </c>
      <c r="J88" s="10"/>
      <c r="K88" s="20" t="s">
        <v>236</v>
      </c>
    </row>
    <row r="89" spans="1:11" x14ac:dyDescent="0.25">
      <c r="A89" s="7" t="s">
        <v>237</v>
      </c>
      <c r="B89" s="29">
        <v>-0.38300000000000001</v>
      </c>
      <c r="C89" s="29">
        <v>-0.76700000000000002</v>
      </c>
      <c r="D89" s="29">
        <v>-0.57899999999999996</v>
      </c>
      <c r="E89" s="10"/>
      <c r="F89" s="30">
        <v>-0.22</v>
      </c>
      <c r="G89" s="30">
        <v>-0.08</v>
      </c>
      <c r="H89" s="30">
        <v>-0.4</v>
      </c>
      <c r="I89" s="31">
        <f>CHOOSE(MATCH($B$2,{"Base","Bull","Bear"},0),F89,G89,H89)</f>
        <v>-0.22</v>
      </c>
      <c r="J89" s="10"/>
      <c r="K89" s="20" t="s">
        <v>238</v>
      </c>
    </row>
    <row r="91" spans="1:11" x14ac:dyDescent="0.25">
      <c r="A91" s="7" t="s">
        <v>239</v>
      </c>
      <c r="B91" s="29">
        <v>0.27600000000000002</v>
      </c>
      <c r="C91" s="29">
        <v>-1.6E-2</v>
      </c>
      <c r="D91" s="29">
        <v>7.400000000000001E-2</v>
      </c>
      <c r="E91" s="10"/>
      <c r="F91" s="30">
        <v>0.14000000000000001</v>
      </c>
      <c r="G91" s="30">
        <v>0.2</v>
      </c>
      <c r="H91" s="30">
        <v>0.08</v>
      </c>
      <c r="I91" s="31">
        <f>CHOOSE(MATCH($B$2,{"Base","Bull","Bear"},0),F91,G91,H91)</f>
        <v>0.14000000000000001</v>
      </c>
      <c r="J91" s="10"/>
      <c r="K91" s="20" t="s">
        <v>240</v>
      </c>
    </row>
    <row r="92" spans="1:11" x14ac:dyDescent="0.25">
      <c r="A92" s="7" t="s">
        <v>241</v>
      </c>
      <c r="B92" s="29">
        <v>0.27600000000000002</v>
      </c>
      <c r="C92" s="29">
        <v>-1.6E-2</v>
      </c>
      <c r="D92" s="29">
        <v>7.400000000000001E-2</v>
      </c>
      <c r="E92" s="10"/>
      <c r="F92" s="30">
        <v>0.18</v>
      </c>
      <c r="G92" s="30">
        <v>0.25</v>
      </c>
      <c r="H92" s="30">
        <v>0.1</v>
      </c>
      <c r="I92" s="31">
        <f>CHOOSE(MATCH($B$2,{"Base","Bull","Bear"},0),F92,G92,H92)</f>
        <v>0.18</v>
      </c>
      <c r="J92" s="10"/>
      <c r="K92" s="20" t="s">
        <v>242</v>
      </c>
    </row>
    <row r="93" spans="1:11" x14ac:dyDescent="0.25">
      <c r="A93" s="7" t="s">
        <v>243</v>
      </c>
      <c r="B93" s="29">
        <v>0.27600000000000002</v>
      </c>
      <c r="C93" s="29">
        <v>-1.6E-2</v>
      </c>
      <c r="D93" s="29">
        <v>7.400000000000001E-2</v>
      </c>
      <c r="E93" s="10"/>
      <c r="F93" s="30">
        <v>0.2</v>
      </c>
      <c r="G93" s="30">
        <v>0.28000000000000003</v>
      </c>
      <c r="H93" s="30">
        <v>0.12</v>
      </c>
      <c r="I93" s="31">
        <f>CHOOSE(MATCH($B$2,{"Base","Bull","Bear"},0),F93,G93,H93)</f>
        <v>0.2</v>
      </c>
      <c r="J93" s="10"/>
      <c r="K93" s="20" t="s">
        <v>244</v>
      </c>
    </row>
    <row r="95" spans="1:11" ht="15" x14ac:dyDescent="0.35">
      <c r="A95" s="9" t="s">
        <v>245</v>
      </c>
      <c r="B95" s="10"/>
      <c r="C95" s="10"/>
      <c r="D95" s="10"/>
      <c r="E95" s="10"/>
      <c r="F95" s="10"/>
      <c r="G95" s="10"/>
      <c r="H95" s="10"/>
      <c r="I95" s="10"/>
      <c r="J95" s="10"/>
    </row>
    <row r="96" spans="1:11" ht="24" x14ac:dyDescent="0.25">
      <c r="A96" s="7" t="s">
        <v>246</v>
      </c>
      <c r="B96" s="29">
        <v>0.6</v>
      </c>
      <c r="C96" s="29">
        <v>0.67300000000000004</v>
      </c>
      <c r="D96" s="29">
        <v>0.65200000000000002</v>
      </c>
      <c r="E96" s="10"/>
      <c r="F96" s="30">
        <v>0.61499999999999999</v>
      </c>
      <c r="G96" s="30">
        <v>0.59</v>
      </c>
      <c r="H96" s="30">
        <v>0.64</v>
      </c>
      <c r="I96" s="31">
        <f>CHOOSE(MATCH($B$2,{"Base","Bull","Bear"},0),F96,G96,H96)</f>
        <v>0.61499999999999999</v>
      </c>
      <c r="J96" s="10"/>
      <c r="K96" s="20" t="s">
        <v>247</v>
      </c>
    </row>
    <row r="97" spans="1:11" x14ac:dyDescent="0.25">
      <c r="A97" s="7" t="s">
        <v>248</v>
      </c>
      <c r="B97" s="29">
        <v>0.6</v>
      </c>
      <c r="C97" s="29">
        <v>0.67300000000000004</v>
      </c>
      <c r="D97" s="29">
        <v>0.65200000000000002</v>
      </c>
      <c r="E97" s="10"/>
      <c r="F97" s="30">
        <v>0.59</v>
      </c>
      <c r="G97" s="30">
        <v>0.55000000000000004</v>
      </c>
      <c r="H97" s="30">
        <v>0.63</v>
      </c>
      <c r="I97" s="31">
        <f>CHOOSE(MATCH($B$2,{"Base","Bull","Bear"},0),F97,G97,H97)</f>
        <v>0.59</v>
      </c>
      <c r="J97" s="10"/>
      <c r="K97" s="20" t="s">
        <v>249</v>
      </c>
    </row>
    <row r="98" spans="1:11" x14ac:dyDescent="0.25">
      <c r="A98" s="7" t="s">
        <v>250</v>
      </c>
      <c r="B98" s="29">
        <v>0.6</v>
      </c>
      <c r="C98" s="29">
        <v>0.67300000000000004</v>
      </c>
      <c r="D98" s="29">
        <v>0.65200000000000002</v>
      </c>
      <c r="E98" s="10"/>
      <c r="F98" s="30">
        <v>0.56499999999999995</v>
      </c>
      <c r="G98" s="30">
        <v>0.51</v>
      </c>
      <c r="H98" s="30">
        <v>0.62</v>
      </c>
      <c r="I98" s="31">
        <f>CHOOSE(MATCH($B$2,{"Base","Bull","Bear"},0),F98,G98,H98)</f>
        <v>0.56499999999999995</v>
      </c>
      <c r="J98" s="10"/>
      <c r="K98" s="20" t="s">
        <v>251</v>
      </c>
    </row>
    <row r="100" spans="1:11" x14ac:dyDescent="0.25">
      <c r="A100" s="7" t="s">
        <v>252</v>
      </c>
      <c r="B100" s="29">
        <v>0.29599999999999999</v>
      </c>
      <c r="C100" s="29">
        <v>0.312</v>
      </c>
      <c r="D100" s="29">
        <v>0.26100000000000001</v>
      </c>
      <c r="E100" s="10"/>
      <c r="F100" s="30">
        <v>0.26</v>
      </c>
      <c r="G100" s="30">
        <v>0.25</v>
      </c>
      <c r="H100" s="30">
        <v>0.28000000000000003</v>
      </c>
      <c r="I100" s="31">
        <f>CHOOSE(MATCH($B$2,{"Base","Bull","Bear"},0),F100,G100,H100)</f>
        <v>0.26</v>
      </c>
      <c r="J100" s="10"/>
      <c r="K100" s="20" t="s">
        <v>253</v>
      </c>
    </row>
    <row r="101" spans="1:11" x14ac:dyDescent="0.25">
      <c r="A101" s="7" t="s">
        <v>254</v>
      </c>
      <c r="B101" s="29">
        <v>0.29599999999999999</v>
      </c>
      <c r="C101" s="29">
        <v>0.312</v>
      </c>
      <c r="D101" s="29">
        <v>0.26100000000000001</v>
      </c>
      <c r="E101" s="10"/>
      <c r="F101" s="30">
        <v>0.25</v>
      </c>
      <c r="G101" s="30">
        <v>0.23</v>
      </c>
      <c r="H101" s="30">
        <v>0.28000000000000003</v>
      </c>
      <c r="I101" s="31">
        <f>CHOOSE(MATCH($B$2,{"Base","Bull","Bear"},0),F101,G101,H101)</f>
        <v>0.25</v>
      </c>
      <c r="J101" s="10"/>
      <c r="K101" s="20" t="s">
        <v>255</v>
      </c>
    </row>
    <row r="102" spans="1:11" x14ac:dyDescent="0.25">
      <c r="A102" s="7" t="s">
        <v>256</v>
      </c>
      <c r="B102" s="29">
        <v>0.29599999999999999</v>
      </c>
      <c r="C102" s="29">
        <v>0.312</v>
      </c>
      <c r="D102" s="29">
        <v>0.26100000000000001</v>
      </c>
      <c r="E102" s="10"/>
      <c r="F102" s="30">
        <v>0.24</v>
      </c>
      <c r="G102" s="30">
        <v>0.21</v>
      </c>
      <c r="H102" s="30">
        <v>0.27</v>
      </c>
      <c r="I102" s="31">
        <f>CHOOSE(MATCH($B$2,{"Base","Bull","Bear"},0),F102,G102,H102)</f>
        <v>0.24</v>
      </c>
      <c r="J102" s="10"/>
      <c r="K102" s="20" t="s">
        <v>257</v>
      </c>
    </row>
    <row r="104" spans="1:11" x14ac:dyDescent="0.25">
      <c r="A104" s="7" t="s">
        <v>258</v>
      </c>
      <c r="B104" s="29">
        <v>0.104</v>
      </c>
      <c r="C104" s="29">
        <v>0.104</v>
      </c>
      <c r="D104" s="29">
        <v>8.6999999999999994E-2</v>
      </c>
      <c r="E104" s="10"/>
      <c r="F104" s="30">
        <v>0.08</v>
      </c>
      <c r="G104" s="30">
        <v>7.4999999999999997E-2</v>
      </c>
      <c r="H104" s="30">
        <v>0.09</v>
      </c>
      <c r="I104" s="31">
        <f>CHOOSE(MATCH($B$2,{"Base","Bull","Bear"},0),F104,G104,H104)</f>
        <v>0.08</v>
      </c>
      <c r="J104" s="10"/>
      <c r="K104" s="20" t="s">
        <v>259</v>
      </c>
    </row>
    <row r="105" spans="1:11" x14ac:dyDescent="0.25">
      <c r="A105" s="7" t="s">
        <v>260</v>
      </c>
      <c r="B105" s="29">
        <v>0.104</v>
      </c>
      <c r="C105" s="29">
        <v>0.104</v>
      </c>
      <c r="D105" s="29">
        <v>8.6999999999999994E-2</v>
      </c>
      <c r="E105" s="10"/>
      <c r="F105" s="30">
        <v>7.4999999999999997E-2</v>
      </c>
      <c r="G105" s="30">
        <v>6.5000000000000002E-2</v>
      </c>
      <c r="H105" s="30">
        <v>0.09</v>
      </c>
      <c r="I105" s="31">
        <f>CHOOSE(MATCH($B$2,{"Base","Bull","Bear"},0),F105,G105,H105)</f>
        <v>7.4999999999999997E-2</v>
      </c>
      <c r="J105" s="10"/>
      <c r="K105" s="20" t="s">
        <v>261</v>
      </c>
    </row>
    <row r="106" spans="1:11" x14ac:dyDescent="0.25">
      <c r="A106" s="7" t="s">
        <v>262</v>
      </c>
      <c r="B106" s="29">
        <v>0.104</v>
      </c>
      <c r="C106" s="29">
        <v>0.104</v>
      </c>
      <c r="D106" s="29">
        <v>8.6999999999999994E-2</v>
      </c>
      <c r="E106" s="10"/>
      <c r="F106" s="30">
        <v>7.0000000000000007E-2</v>
      </c>
      <c r="G106" s="30">
        <v>0.06</v>
      </c>
      <c r="H106" s="30">
        <v>8.5000000000000006E-2</v>
      </c>
      <c r="I106" s="31">
        <f>CHOOSE(MATCH($B$2,{"Base","Bull","Bear"},0),F106,G106,H106)</f>
        <v>7.0000000000000007E-2</v>
      </c>
      <c r="J106" s="10"/>
      <c r="K106" s="20" t="s">
        <v>263</v>
      </c>
    </row>
    <row r="108" spans="1:11" x14ac:dyDescent="0.25">
      <c r="A108" s="7" t="s">
        <v>264</v>
      </c>
    </row>
    <row r="109" spans="1:11" x14ac:dyDescent="0.25">
      <c r="A109" s="7" t="s">
        <v>265</v>
      </c>
      <c r="B109" s="42">
        <v>7847</v>
      </c>
      <c r="C109" s="42">
        <v>9951</v>
      </c>
      <c r="D109" s="42">
        <v>10757</v>
      </c>
      <c r="E109" s="10"/>
      <c r="F109" s="43">
        <v>12500</v>
      </c>
      <c r="G109" s="43">
        <v>12000</v>
      </c>
      <c r="H109" s="43">
        <v>13000</v>
      </c>
      <c r="I109" s="44">
        <f>CHOOSE(MATCH($B$2,{"Base","Bull","Bear"},0),F109,G109,H109)</f>
        <v>12500</v>
      </c>
      <c r="J109" s="10"/>
      <c r="K109" s="20" t="s">
        <v>266</v>
      </c>
    </row>
    <row r="110" spans="1:11" x14ac:dyDescent="0.25">
      <c r="A110" s="7" t="s">
        <v>267</v>
      </c>
      <c r="B110" s="42">
        <v>7847</v>
      </c>
      <c r="C110" s="42">
        <v>9951</v>
      </c>
      <c r="D110" s="42">
        <v>10757</v>
      </c>
      <c r="E110" s="10"/>
      <c r="F110" s="43">
        <v>13200</v>
      </c>
      <c r="G110" s="43">
        <v>12500</v>
      </c>
      <c r="H110" s="43">
        <v>14000</v>
      </c>
      <c r="I110" s="44">
        <f>CHOOSE(MATCH($B$2,{"Base","Bull","Bear"},0),F110,G110,H110)</f>
        <v>13200</v>
      </c>
      <c r="J110" s="10"/>
      <c r="K110" s="20" t="s">
        <v>268</v>
      </c>
    </row>
    <row r="111" spans="1:11" x14ac:dyDescent="0.25">
      <c r="A111" s="7" t="s">
        <v>269</v>
      </c>
      <c r="B111" s="42">
        <v>7847</v>
      </c>
      <c r="C111" s="42">
        <v>9951</v>
      </c>
      <c r="D111" s="42">
        <v>10757</v>
      </c>
      <c r="E111" s="10"/>
      <c r="F111" s="43">
        <v>13800</v>
      </c>
      <c r="G111" s="43">
        <v>12800</v>
      </c>
      <c r="H111" s="43">
        <v>15000</v>
      </c>
      <c r="I111" s="44">
        <f>CHOOSE(MATCH($B$2,{"Base","Bull","Bear"},0),F111,G111,H111)</f>
        <v>13800</v>
      </c>
      <c r="J111" s="10"/>
      <c r="K111" s="20" t="s">
        <v>270</v>
      </c>
    </row>
    <row r="113" spans="1:11" x14ac:dyDescent="0.25">
      <c r="A113" s="7" t="s">
        <v>271</v>
      </c>
      <c r="B113" s="42">
        <v>3229</v>
      </c>
      <c r="C113" s="42">
        <v>3410</v>
      </c>
      <c r="D113" s="42">
        <v>2434</v>
      </c>
      <c r="E113" s="10"/>
      <c r="F113" s="43">
        <v>2500</v>
      </c>
      <c r="G113" s="43">
        <v>2500</v>
      </c>
      <c r="H113" s="43">
        <v>2500</v>
      </c>
      <c r="I113" s="44">
        <f>CHOOSE(MATCH($B$2,{"Base","Bull","Bear"},0),F113,G113,H113)</f>
        <v>2500</v>
      </c>
      <c r="J113" s="10"/>
      <c r="K113" s="20" t="s">
        <v>272</v>
      </c>
    </row>
    <row r="114" spans="1:11" x14ac:dyDescent="0.25">
      <c r="A114" s="7" t="s">
        <v>273</v>
      </c>
      <c r="B114" s="42">
        <v>-62</v>
      </c>
      <c r="C114" s="42">
        <v>6970</v>
      </c>
      <c r="D114" s="42">
        <v>2191</v>
      </c>
      <c r="E114" s="10"/>
      <c r="F114" s="43">
        <v>500</v>
      </c>
      <c r="G114" s="43">
        <v>500</v>
      </c>
      <c r="H114" s="43">
        <v>500</v>
      </c>
      <c r="I114" s="44">
        <f>CHOOSE(MATCH($B$2,{"Base","Bull","Bear"},0),F114,G114,H114)</f>
        <v>500</v>
      </c>
      <c r="J114" s="10"/>
      <c r="K114" s="20" t="s">
        <v>274</v>
      </c>
    </row>
    <row r="116" spans="1:11" ht="15" x14ac:dyDescent="0.35">
      <c r="A116" s="9" t="s">
        <v>275</v>
      </c>
      <c r="B116" s="10"/>
      <c r="C116" s="10"/>
      <c r="D116" s="10"/>
      <c r="E116" s="10"/>
      <c r="F116" s="10"/>
      <c r="G116" s="10"/>
      <c r="H116" s="10"/>
      <c r="I116" s="10"/>
      <c r="J116" s="10"/>
    </row>
    <row r="117" spans="1:11" x14ac:dyDescent="0.25">
      <c r="A117" s="7" t="s">
        <v>276</v>
      </c>
      <c r="B117" s="33">
        <v>22.9</v>
      </c>
      <c r="C117" s="33">
        <v>23.9</v>
      </c>
      <c r="D117" s="33">
        <v>26.5</v>
      </c>
      <c r="E117" s="10"/>
      <c r="F117" s="34">
        <v>25</v>
      </c>
      <c r="G117" s="34">
        <v>25</v>
      </c>
      <c r="H117" s="34">
        <v>25</v>
      </c>
      <c r="I117" s="35">
        <f>CHOOSE(MATCH($B$2,{"Base","Bull","Bear"},0),F117,G117,H117)</f>
        <v>25</v>
      </c>
      <c r="J117" s="10"/>
      <c r="K117" s="20" t="s">
        <v>277</v>
      </c>
    </row>
    <row r="118" spans="1:11" x14ac:dyDescent="0.25">
      <c r="A118" s="7" t="s">
        <v>278</v>
      </c>
      <c r="B118" s="33">
        <v>96.3</v>
      </c>
      <c r="C118" s="33">
        <v>128.19999999999999</v>
      </c>
      <c r="D118" s="33">
        <v>104.6</v>
      </c>
      <c r="E118" s="10"/>
      <c r="F118" s="34">
        <v>100</v>
      </c>
      <c r="G118" s="34">
        <v>100</v>
      </c>
      <c r="H118" s="34">
        <v>100</v>
      </c>
      <c r="I118" s="35">
        <f>CHOOSE(MATCH($B$2,{"Base","Bull","Bear"},0),F118,G118,H118)</f>
        <v>100</v>
      </c>
      <c r="J118" s="10"/>
      <c r="K118" s="20" t="s">
        <v>279</v>
      </c>
    </row>
    <row r="119" spans="1:11" x14ac:dyDescent="0.25">
      <c r="A119" s="7" t="s">
        <v>280</v>
      </c>
      <c r="B119" s="33">
        <v>124.9</v>
      </c>
      <c r="C119" s="33">
        <v>124.5</v>
      </c>
      <c r="D119" s="33">
        <v>123</v>
      </c>
      <c r="E119" s="10"/>
      <c r="F119" s="34">
        <v>125</v>
      </c>
      <c r="G119" s="34">
        <v>125</v>
      </c>
      <c r="H119" s="34">
        <v>125</v>
      </c>
      <c r="I119" s="35">
        <f>CHOOSE(MATCH($B$2,{"Base","Bull","Bear"},0),F119,G119,H119)</f>
        <v>125</v>
      </c>
      <c r="J119" s="10"/>
      <c r="K119" s="20" t="s">
        <v>281</v>
      </c>
    </row>
    <row r="120" spans="1:11" x14ac:dyDescent="0.25">
      <c r="A120" s="7" t="s">
        <v>282</v>
      </c>
      <c r="B120" s="29">
        <v>6.7000000000000004E-2</v>
      </c>
      <c r="C120" s="29">
        <v>6.3E-2</v>
      </c>
      <c r="D120" s="29">
        <v>7.5999999999999998E-2</v>
      </c>
      <c r="E120" s="10"/>
      <c r="F120" s="30">
        <v>7.0000000000000007E-2</v>
      </c>
      <c r="G120" s="30">
        <v>7.0000000000000007E-2</v>
      </c>
      <c r="H120" s="30">
        <v>7.0000000000000007E-2</v>
      </c>
      <c r="I120" s="31">
        <f>CHOOSE(MATCH($B$2,{"Base","Bull","Bear"},0),F120,G120,H120)</f>
        <v>7.0000000000000007E-2</v>
      </c>
      <c r="J120" s="10"/>
      <c r="K120" s="20" t="s">
        <v>283</v>
      </c>
    </row>
    <row r="121" spans="1:11" x14ac:dyDescent="0.25">
      <c r="A121" s="7" t="s">
        <v>284</v>
      </c>
      <c r="B121" s="10"/>
      <c r="C121" s="10"/>
      <c r="D121" s="10"/>
      <c r="E121" s="10"/>
      <c r="F121" s="30">
        <v>0.15</v>
      </c>
      <c r="G121" s="30">
        <v>0.15</v>
      </c>
      <c r="H121" s="30">
        <v>0.15</v>
      </c>
      <c r="I121" s="31">
        <f>CHOOSE(MATCH($B$2,{"Base","Bull","Bear"},0),F121,G121,H121)</f>
        <v>0.15</v>
      </c>
      <c r="J121" s="10"/>
      <c r="K121" s="20" t="s">
        <v>285</v>
      </c>
    </row>
    <row r="122" spans="1:11" x14ac:dyDescent="0.25">
      <c r="A122" s="7" t="s">
        <v>286</v>
      </c>
      <c r="B122" s="10"/>
      <c r="C122" s="10"/>
      <c r="D122" s="10"/>
      <c r="E122" s="10"/>
      <c r="F122" s="30">
        <v>0.25</v>
      </c>
      <c r="G122" s="30">
        <v>0.25</v>
      </c>
      <c r="H122" s="30">
        <v>0.25</v>
      </c>
      <c r="I122" s="31">
        <f>CHOOSE(MATCH($B$2,{"Base","Bull","Bear"},0),F122,G122,H122)</f>
        <v>0.25</v>
      </c>
      <c r="J122" s="10"/>
      <c r="K122" s="20" t="s">
        <v>287</v>
      </c>
    </row>
    <row r="123" spans="1:11" x14ac:dyDescent="0.25">
      <c r="A123" s="7" t="s">
        <v>288</v>
      </c>
      <c r="B123" s="10"/>
      <c r="C123" s="10"/>
      <c r="D123" s="10"/>
      <c r="E123" s="10"/>
      <c r="F123" s="30">
        <v>0.02</v>
      </c>
      <c r="G123" s="30">
        <v>0.02</v>
      </c>
      <c r="H123" s="30">
        <v>0.02</v>
      </c>
      <c r="I123" s="31">
        <f>CHOOSE(MATCH($B$2,{"Base","Bull","Bear"},0),F123,G123,H123)</f>
        <v>0.02</v>
      </c>
      <c r="J123" s="10"/>
      <c r="K123" s="20" t="s">
        <v>289</v>
      </c>
    </row>
    <row r="125" spans="1:11" ht="15" x14ac:dyDescent="0.35">
      <c r="A125" s="9" t="s">
        <v>290</v>
      </c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1" x14ac:dyDescent="0.25">
      <c r="A126" s="7" t="s">
        <v>265</v>
      </c>
      <c r="B126" s="42">
        <v>25750</v>
      </c>
      <c r="C126" s="42">
        <v>25122</v>
      </c>
      <c r="D126" s="42">
        <v>17672</v>
      </c>
      <c r="E126" s="10"/>
      <c r="F126" s="43">
        <v>17700</v>
      </c>
      <c r="G126" s="43">
        <v>17500</v>
      </c>
      <c r="H126" s="43">
        <v>18000</v>
      </c>
      <c r="I126" s="44">
        <f>CHOOSE(MATCH($B$2,{"Base","Bull","Bear"},0),F126,G126,H126)</f>
        <v>17700</v>
      </c>
      <c r="J126" s="10"/>
      <c r="K126" s="20" t="s">
        <v>291</v>
      </c>
    </row>
    <row r="127" spans="1:11" x14ac:dyDescent="0.25">
      <c r="A127" s="7" t="s">
        <v>267</v>
      </c>
      <c r="B127" s="42">
        <v>25750</v>
      </c>
      <c r="C127" s="42">
        <v>25122</v>
      </c>
      <c r="D127" s="42">
        <v>17672</v>
      </c>
      <c r="E127" s="10"/>
      <c r="F127" s="43">
        <v>19500</v>
      </c>
      <c r="G127" s="43">
        <v>22000</v>
      </c>
      <c r="H127" s="43">
        <v>17000</v>
      </c>
      <c r="I127" s="44">
        <f>CHOOSE(MATCH($B$2,{"Base","Bull","Bear"},0),F127,G127,H127)</f>
        <v>19500</v>
      </c>
      <c r="J127" s="10"/>
      <c r="K127" s="20" t="s">
        <v>292</v>
      </c>
    </row>
    <row r="128" spans="1:11" x14ac:dyDescent="0.25">
      <c r="A128" s="7" t="s">
        <v>269</v>
      </c>
      <c r="B128" s="42">
        <v>25750</v>
      </c>
      <c r="C128" s="42">
        <v>25122</v>
      </c>
      <c r="D128" s="42">
        <v>17672</v>
      </c>
      <c r="E128" s="10"/>
      <c r="F128" s="43">
        <v>21000</v>
      </c>
      <c r="G128" s="43">
        <v>25000</v>
      </c>
      <c r="H128" s="43">
        <v>16000</v>
      </c>
      <c r="I128" s="44">
        <f>CHOOSE(MATCH($B$2,{"Base","Bull","Bear"},0),F128,G128,H128)</f>
        <v>21000</v>
      </c>
      <c r="J128" s="10"/>
      <c r="K128" s="20" t="s">
        <v>293</v>
      </c>
    </row>
    <row r="130" spans="1:11" ht="15" x14ac:dyDescent="0.35">
      <c r="A130" s="9" t="s">
        <v>294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1" x14ac:dyDescent="0.25">
      <c r="A131" s="7" t="s">
        <v>295</v>
      </c>
      <c r="B131" s="42">
        <v>49266</v>
      </c>
      <c r="C131" s="42">
        <v>50011</v>
      </c>
      <c r="D131" s="42">
        <v>46585</v>
      </c>
      <c r="E131" s="10"/>
      <c r="F131" s="43">
        <v>49500</v>
      </c>
      <c r="G131" s="43">
        <v>47000</v>
      </c>
      <c r="H131" s="43">
        <v>52000</v>
      </c>
      <c r="I131" s="44">
        <f>CHOOSE(MATCH($B$2,{"Base","Bull","Bear"},0),F131,G131,H131)</f>
        <v>49500</v>
      </c>
      <c r="J131" s="10"/>
      <c r="K131" s="20" t="s">
        <v>296</v>
      </c>
    </row>
    <row r="132" spans="1:11" x14ac:dyDescent="0.25">
      <c r="A132" s="7" t="s">
        <v>297</v>
      </c>
      <c r="B132" s="42">
        <v>49266</v>
      </c>
      <c r="C132" s="42">
        <v>50011</v>
      </c>
      <c r="D132" s="42">
        <v>46585</v>
      </c>
      <c r="E132" s="10"/>
      <c r="F132" s="43">
        <v>47200</v>
      </c>
      <c r="G132" s="43">
        <v>43000</v>
      </c>
      <c r="H132" s="43">
        <v>54000</v>
      </c>
      <c r="I132" s="44">
        <f>CHOOSE(MATCH($B$2,{"Base","Bull","Bear"},0),F132,G132,H132)</f>
        <v>47200</v>
      </c>
      <c r="J132" s="10"/>
      <c r="K132" s="20" t="s">
        <v>298</v>
      </c>
    </row>
    <row r="133" spans="1:11" x14ac:dyDescent="0.25">
      <c r="A133" s="7" t="s">
        <v>299</v>
      </c>
      <c r="B133" s="42">
        <v>49266</v>
      </c>
      <c r="C133" s="42">
        <v>50011</v>
      </c>
      <c r="D133" s="42">
        <v>46585</v>
      </c>
      <c r="E133" s="10"/>
      <c r="F133" s="43">
        <v>46000</v>
      </c>
      <c r="G133" s="43">
        <v>39000</v>
      </c>
      <c r="H133" s="43">
        <v>55000</v>
      </c>
      <c r="I133" s="44">
        <f>CHOOSE(MATCH($B$2,{"Base","Bull","Bear"},0),F133,G133,H133)</f>
        <v>46000</v>
      </c>
      <c r="J133" s="10"/>
      <c r="K133" s="20" t="s">
        <v>300</v>
      </c>
    </row>
    <row r="135" spans="1:11" x14ac:dyDescent="0.25">
      <c r="A135" s="7" t="s">
        <v>301</v>
      </c>
      <c r="B135" s="42">
        <v>4228</v>
      </c>
      <c r="C135" s="42">
        <v>4330</v>
      </c>
      <c r="D135" s="42">
        <v>4994</v>
      </c>
      <c r="E135" s="10"/>
      <c r="F135" s="43">
        <v>5100</v>
      </c>
      <c r="G135" s="43">
        <v>5080</v>
      </c>
      <c r="H135" s="43">
        <v>5200</v>
      </c>
      <c r="I135" s="44">
        <f>CHOOSE(MATCH($B$2,{"Base","Bull","Bear"},0),F135,G135,H135)</f>
        <v>5100</v>
      </c>
      <c r="J135" s="10"/>
      <c r="K135" s="20" t="s">
        <v>302</v>
      </c>
    </row>
    <row r="136" spans="1:11" x14ac:dyDescent="0.25">
      <c r="A136" s="7" t="s">
        <v>303</v>
      </c>
      <c r="B136" s="42">
        <v>4228</v>
      </c>
      <c r="C136" s="42">
        <v>4330</v>
      </c>
      <c r="D136" s="42">
        <v>4994</v>
      </c>
      <c r="E136" s="10"/>
      <c r="F136" s="43">
        <v>5180</v>
      </c>
      <c r="G136" s="43">
        <v>5120</v>
      </c>
      <c r="H136" s="43">
        <v>5400</v>
      </c>
      <c r="I136" s="44">
        <f>CHOOSE(MATCH($B$2,{"Base","Bull","Bear"},0),F136,G136,H136)</f>
        <v>5180</v>
      </c>
      <c r="J136" s="10"/>
      <c r="K136" s="20" t="s">
        <v>304</v>
      </c>
    </row>
    <row r="137" spans="1:11" x14ac:dyDescent="0.25">
      <c r="A137" s="7" t="s">
        <v>305</v>
      </c>
      <c r="B137" s="42">
        <v>4228</v>
      </c>
      <c r="C137" s="42">
        <v>4330</v>
      </c>
      <c r="D137" s="42">
        <v>4994</v>
      </c>
      <c r="E137" s="10"/>
      <c r="F137" s="43">
        <v>5250</v>
      </c>
      <c r="G137" s="43">
        <v>5150</v>
      </c>
      <c r="H137" s="43">
        <v>5600</v>
      </c>
      <c r="I137" s="44">
        <f>CHOOSE(MATCH($B$2,{"Base","Bull","Bear"},0),F137,G137,H137)</f>
        <v>5250</v>
      </c>
      <c r="J137" s="10"/>
      <c r="K137" s="20" t="s">
        <v>306</v>
      </c>
    </row>
    <row r="139" spans="1:11" x14ac:dyDescent="0.25">
      <c r="A139" s="7" t="s">
        <v>307</v>
      </c>
      <c r="B139" s="26">
        <v>0.74</v>
      </c>
      <c r="C139" s="26">
        <v>0.38</v>
      </c>
      <c r="D139" s="26">
        <v>0</v>
      </c>
      <c r="E139" s="10"/>
      <c r="F139" s="27">
        <v>0</v>
      </c>
      <c r="G139" s="27">
        <v>0</v>
      </c>
      <c r="H139" s="27">
        <v>0</v>
      </c>
      <c r="I139" s="28">
        <f>CHOOSE(MATCH($B$2,{"Base","Bull","Bear"},0),F139,G139,H139)</f>
        <v>0</v>
      </c>
      <c r="J139" s="10"/>
      <c r="K139" s="20" t="s">
        <v>308</v>
      </c>
    </row>
    <row r="140" spans="1:11" x14ac:dyDescent="0.25">
      <c r="A140" s="7" t="s">
        <v>309</v>
      </c>
      <c r="B140" s="10"/>
      <c r="C140" s="10"/>
      <c r="D140" s="10"/>
      <c r="E140" s="10"/>
      <c r="F140" s="43">
        <v>300</v>
      </c>
      <c r="G140" s="43">
        <v>300</v>
      </c>
      <c r="H140" s="43">
        <v>300</v>
      </c>
      <c r="I140" s="44">
        <f>CHOOSE(MATCH($B$2,{"Base","Bull","Bear"},0),F140,G140,H140)</f>
        <v>300</v>
      </c>
      <c r="J140" s="10"/>
      <c r="K140" s="20" t="s">
        <v>310</v>
      </c>
    </row>
    <row r="142" spans="1:11" ht="15" x14ac:dyDescent="0.35">
      <c r="A142" s="9" t="s">
        <v>311</v>
      </c>
      <c r="B142" s="10"/>
      <c r="C142" s="10"/>
      <c r="D142" s="10"/>
      <c r="E142" s="10"/>
      <c r="F142" s="10"/>
      <c r="G142" s="10"/>
      <c r="H142" s="10"/>
      <c r="I142" s="10"/>
      <c r="J142" s="10"/>
    </row>
    <row r="143" spans="1:11" ht="24" x14ac:dyDescent="0.25">
      <c r="A143" s="7" t="s">
        <v>312</v>
      </c>
      <c r="B143" s="29">
        <v>-1.198</v>
      </c>
      <c r="C143" s="29">
        <v>-0.71599999999999997</v>
      </c>
      <c r="D143" s="29">
        <v>0.98299999999999998</v>
      </c>
      <c r="E143" s="10"/>
      <c r="F143" s="30">
        <v>0.12</v>
      </c>
      <c r="G143" s="30">
        <v>0.11</v>
      </c>
      <c r="H143" s="30">
        <v>0.15</v>
      </c>
      <c r="I143" s="31">
        <f>CHOOSE(MATCH($B$2,{"Base","Bull","Bear"},0),F143,G143,H143)</f>
        <v>0.12</v>
      </c>
      <c r="J143" s="10"/>
      <c r="K143" s="20" t="s">
        <v>313</v>
      </c>
    </row>
    <row r="144" spans="1:11" x14ac:dyDescent="0.25">
      <c r="A144" s="7" t="s">
        <v>314</v>
      </c>
      <c r="B144" s="10"/>
      <c r="C144" s="10"/>
      <c r="D144" s="10"/>
      <c r="E144" s="10"/>
      <c r="F144" s="30">
        <v>0.13</v>
      </c>
      <c r="G144" s="30">
        <v>0.12</v>
      </c>
      <c r="H144" s="30">
        <v>0.15</v>
      </c>
      <c r="I144" s="31">
        <f>CHOOSE(MATCH($B$2,{"Base","Bull","Bear"},0),F144,G144,H144)</f>
        <v>0.13</v>
      </c>
      <c r="J144" s="10"/>
      <c r="K144" s="20" t="s">
        <v>315</v>
      </c>
    </row>
    <row r="145" spans="1:11" x14ac:dyDescent="0.25">
      <c r="A145" s="7" t="s">
        <v>316</v>
      </c>
      <c r="B145" s="10"/>
      <c r="C145" s="10"/>
      <c r="D145" s="10"/>
      <c r="E145" s="10"/>
      <c r="F145" s="30">
        <v>0.13</v>
      </c>
      <c r="G145" s="30">
        <v>0.12</v>
      </c>
      <c r="H145" s="30">
        <v>0.15</v>
      </c>
      <c r="I145" s="31">
        <f>CHOOSE(MATCH($B$2,{"Base","Bull","Bear"},0),F145,G145,H145)</f>
        <v>0.13</v>
      </c>
      <c r="J145" s="10"/>
      <c r="K145" s="20" t="s">
        <v>317</v>
      </c>
    </row>
    <row r="147" spans="1:11" x14ac:dyDescent="0.25">
      <c r="A147" s="7" t="s">
        <v>318</v>
      </c>
      <c r="B147" s="42">
        <v>629</v>
      </c>
      <c r="C147" s="42">
        <v>226</v>
      </c>
      <c r="D147" s="42">
        <v>3257</v>
      </c>
      <c r="E147" s="10"/>
      <c r="F147" s="43">
        <v>-800</v>
      </c>
      <c r="G147" s="43">
        <v>-500</v>
      </c>
      <c r="H147" s="43">
        <v>-1200</v>
      </c>
      <c r="I147" s="44">
        <f>CHOOSE(MATCH($B$2,{"Base","Bull","Bear"},0),F147,G147,H147)</f>
        <v>-800</v>
      </c>
      <c r="J147" s="10"/>
      <c r="K147" s="20" t="s">
        <v>319</v>
      </c>
    </row>
    <row r="148" spans="1:11" x14ac:dyDescent="0.25">
      <c r="A148" s="7" t="s">
        <v>320</v>
      </c>
      <c r="B148" s="42">
        <v>629</v>
      </c>
      <c r="C148" s="42">
        <v>226</v>
      </c>
      <c r="D148" s="42">
        <v>3257</v>
      </c>
      <c r="E148" s="10"/>
      <c r="F148" s="43">
        <v>-600</v>
      </c>
      <c r="G148" s="43">
        <v>-300</v>
      </c>
      <c r="H148" s="43">
        <v>-1200</v>
      </c>
      <c r="I148" s="44">
        <f>CHOOSE(MATCH($B$2,{"Base","Bull","Bear"},0),F148,G148,H148)</f>
        <v>-600</v>
      </c>
      <c r="J148" s="10"/>
      <c r="K148" s="20" t="s">
        <v>321</v>
      </c>
    </row>
    <row r="149" spans="1:11" x14ac:dyDescent="0.25">
      <c r="A149" s="7" t="s">
        <v>322</v>
      </c>
      <c r="B149" s="42">
        <v>629</v>
      </c>
      <c r="C149" s="42">
        <v>226</v>
      </c>
      <c r="D149" s="42">
        <v>3257</v>
      </c>
      <c r="E149" s="10"/>
      <c r="F149" s="43">
        <v>-400</v>
      </c>
      <c r="G149" s="43">
        <v>-100</v>
      </c>
      <c r="H149" s="43">
        <v>-1000</v>
      </c>
      <c r="I149" s="44">
        <f>CHOOSE(MATCH($B$2,{"Base","Bull","Bear"},0),F149,G149,H149)</f>
        <v>-400</v>
      </c>
      <c r="J149" s="10"/>
      <c r="K149" s="20" t="s">
        <v>323</v>
      </c>
    </row>
    <row r="151" spans="1:11" x14ac:dyDescent="0.25">
      <c r="A151" s="7" t="s">
        <v>324</v>
      </c>
      <c r="B151" s="42">
        <v>293</v>
      </c>
      <c r="C151" s="42">
        <v>293</v>
      </c>
      <c r="D151" s="42">
        <v>293</v>
      </c>
      <c r="E151" s="10"/>
      <c r="F151" s="43">
        <v>750</v>
      </c>
      <c r="G151" s="43">
        <v>750</v>
      </c>
      <c r="H151" s="43">
        <v>750</v>
      </c>
      <c r="I151" s="44">
        <f>CHOOSE(MATCH($B$2,{"Base","Bull","Bear"},0),F151,G151,H151)</f>
        <v>750</v>
      </c>
      <c r="J151" s="10"/>
      <c r="K151" s="20" t="s">
        <v>325</v>
      </c>
    </row>
    <row r="152" spans="1:11" x14ac:dyDescent="0.25">
      <c r="A152" s="7" t="s">
        <v>326</v>
      </c>
      <c r="B152" s="10"/>
      <c r="C152" s="10"/>
      <c r="D152" s="10"/>
      <c r="E152" s="10"/>
      <c r="F152" s="43">
        <v>1100</v>
      </c>
      <c r="G152" s="43">
        <v>1100</v>
      </c>
      <c r="H152" s="43">
        <v>1100</v>
      </c>
      <c r="I152" s="44">
        <f>CHOOSE(MATCH($B$2,{"Base","Bull","Bear"},0),F152,G152,H152)</f>
        <v>1100</v>
      </c>
      <c r="J152" s="10"/>
      <c r="K152" s="20" t="s">
        <v>327</v>
      </c>
    </row>
    <row r="153" spans="1:11" x14ac:dyDescent="0.25">
      <c r="A153" s="7" t="s">
        <v>328</v>
      </c>
      <c r="B153" s="10"/>
      <c r="C153" s="10"/>
      <c r="D153" s="10"/>
      <c r="E153" s="10"/>
      <c r="F153" s="43">
        <v>1100</v>
      </c>
      <c r="G153" s="43">
        <v>1100</v>
      </c>
      <c r="H153" s="43">
        <v>1100</v>
      </c>
      <c r="I153" s="44">
        <f>CHOOSE(MATCH($B$2,{"Base","Bull","Bear"},0),F153,G153,H153)</f>
        <v>1100</v>
      </c>
      <c r="J153" s="10"/>
      <c r="K153" s="20" t="s">
        <v>329</v>
      </c>
    </row>
    <row r="155" spans="1:11" ht="15" x14ac:dyDescent="0.35">
      <c r="A155" s="9" t="s">
        <v>330</v>
      </c>
      <c r="B155" s="10"/>
      <c r="C155" s="10"/>
      <c r="D155" s="10"/>
      <c r="E155" s="10"/>
      <c r="F155" s="10"/>
      <c r="G155" s="10"/>
      <c r="H155" s="10"/>
      <c r="I155" s="10"/>
      <c r="J155" s="10"/>
    </row>
    <row r="156" spans="1:11" x14ac:dyDescent="0.25">
      <c r="A156" s="7" t="s">
        <v>331</v>
      </c>
      <c r="B156" s="10"/>
      <c r="C156" s="10"/>
      <c r="D156" s="10"/>
      <c r="E156" s="10"/>
      <c r="F156" s="43">
        <v>-5000</v>
      </c>
      <c r="G156" s="43">
        <v>-5000</v>
      </c>
      <c r="H156" s="43">
        <v>-5000</v>
      </c>
      <c r="I156" s="44">
        <f>CHOOSE(MATCH($B$2,{"Base","Bull","Bear"},0),F156,G156,H156)</f>
        <v>-5000</v>
      </c>
      <c r="J156" s="10"/>
      <c r="K156" s="20" t="s">
        <v>332</v>
      </c>
    </row>
    <row r="157" spans="1:11" x14ac:dyDescent="0.25">
      <c r="A157" s="7" t="s">
        <v>333</v>
      </c>
      <c r="B157" s="10"/>
      <c r="C157" s="10"/>
      <c r="D157" s="10"/>
      <c r="E157" s="10"/>
      <c r="F157" s="43">
        <v>-4500</v>
      </c>
      <c r="G157" s="43">
        <v>-4500</v>
      </c>
      <c r="H157" s="43">
        <v>-4500</v>
      </c>
      <c r="I157" s="44">
        <f>CHOOSE(MATCH($B$2,{"Base","Bull","Bear"},0),F157,G157,H157)</f>
        <v>-4500</v>
      </c>
      <c r="J157" s="10"/>
      <c r="K157" s="20" t="s">
        <v>334</v>
      </c>
    </row>
    <row r="158" spans="1:11" x14ac:dyDescent="0.25">
      <c r="A158" s="7" t="s">
        <v>335</v>
      </c>
      <c r="B158" s="10"/>
      <c r="C158" s="10"/>
      <c r="D158" s="10"/>
      <c r="E158" s="10"/>
      <c r="F158" s="43">
        <v>-4000</v>
      </c>
      <c r="G158" s="43">
        <v>-4000</v>
      </c>
      <c r="H158" s="43">
        <v>-4000</v>
      </c>
      <c r="I158" s="44">
        <f>CHOOSE(MATCH($B$2,{"Base","Bull","Bear"},0),F158,G158,H158)</f>
        <v>-4000</v>
      </c>
      <c r="J158" s="10"/>
      <c r="K158" s="20" t="s">
        <v>336</v>
      </c>
    </row>
    <row r="161" spans="1:11" ht="15" x14ac:dyDescent="0.35">
      <c r="A161" s="9" t="s">
        <v>337</v>
      </c>
      <c r="B161" s="10"/>
      <c r="C161" s="10"/>
      <c r="D161" s="10"/>
      <c r="E161" s="10"/>
      <c r="F161" s="10"/>
      <c r="G161" s="10"/>
      <c r="H161" s="10"/>
      <c r="I161" s="10"/>
      <c r="J161" s="10"/>
    </row>
    <row r="162" spans="1:11" ht="26" x14ac:dyDescent="0.25">
      <c r="A162" s="7" t="s">
        <v>338</v>
      </c>
    </row>
    <row r="163" spans="1:11" ht="24" x14ac:dyDescent="0.25">
      <c r="A163" s="7" t="s">
        <v>339</v>
      </c>
      <c r="B163" s="36">
        <v>102.2</v>
      </c>
      <c r="C163" s="36">
        <v>93.5</v>
      </c>
      <c r="D163" s="36">
        <v>90.1</v>
      </c>
      <c r="E163" s="10"/>
      <c r="F163" s="37">
        <v>90</v>
      </c>
      <c r="G163" s="37">
        <v>98</v>
      </c>
      <c r="H163" s="37">
        <v>82</v>
      </c>
      <c r="I163" s="38">
        <f>CHOOSE(MATCH($B$2,{"Base","Bull","Bear"},0),F163,G163,H163)</f>
        <v>90</v>
      </c>
      <c r="J163" s="10"/>
      <c r="K163" s="20" t="s">
        <v>340</v>
      </c>
    </row>
    <row r="164" spans="1:11" x14ac:dyDescent="0.25">
      <c r="A164" s="7" t="s">
        <v>341</v>
      </c>
      <c r="B164" s="10"/>
      <c r="C164" s="10"/>
      <c r="D164" s="10"/>
      <c r="E164" s="10"/>
      <c r="F164" s="37">
        <v>92</v>
      </c>
      <c r="G164" s="37">
        <v>105</v>
      </c>
      <c r="H164" s="37">
        <v>80</v>
      </c>
      <c r="I164" s="38">
        <f>CHOOSE(MATCH($B$2,{"Base","Bull","Bear"},0),F164,G164,H164)</f>
        <v>92</v>
      </c>
      <c r="J164" s="10"/>
      <c r="K164" s="20" t="s">
        <v>342</v>
      </c>
    </row>
    <row r="165" spans="1:11" x14ac:dyDescent="0.25">
      <c r="A165" s="7" t="s">
        <v>343</v>
      </c>
      <c r="B165" s="10"/>
      <c r="C165" s="10"/>
      <c r="D165" s="10"/>
      <c r="E165" s="10"/>
      <c r="F165" s="37">
        <v>95</v>
      </c>
      <c r="G165" s="37">
        <v>110</v>
      </c>
      <c r="H165" s="37">
        <v>78</v>
      </c>
      <c r="I165" s="38">
        <f>CHOOSE(MATCH($B$2,{"Base","Bull","Bear"},0),F165,G165,H165)</f>
        <v>95</v>
      </c>
      <c r="J165" s="10"/>
      <c r="K165" s="20" t="s">
        <v>344</v>
      </c>
    </row>
    <row r="167" spans="1:11" ht="15" x14ac:dyDescent="0.35">
      <c r="A167" s="9" t="s">
        <v>345</v>
      </c>
      <c r="B167" s="10"/>
      <c r="C167" s="10"/>
      <c r="D167" s="10"/>
      <c r="E167" s="10"/>
      <c r="F167" s="10"/>
      <c r="G167" s="10"/>
      <c r="H167" s="10"/>
      <c r="I167" s="10"/>
      <c r="J167" s="10"/>
    </row>
    <row r="168" spans="1:11" ht="26" x14ac:dyDescent="0.25">
      <c r="A168" s="7" t="s">
        <v>346</v>
      </c>
    </row>
    <row r="169" spans="1:11" x14ac:dyDescent="0.25">
      <c r="A169" s="7" t="s">
        <v>347</v>
      </c>
      <c r="B169" s="33">
        <v>89</v>
      </c>
      <c r="C169" s="33">
        <v>88</v>
      </c>
      <c r="D169" s="33">
        <v>87</v>
      </c>
      <c r="E169" s="10"/>
      <c r="F169" s="34">
        <v>88</v>
      </c>
      <c r="G169" s="34">
        <v>90</v>
      </c>
      <c r="H169" s="34">
        <v>85</v>
      </c>
      <c r="I169" s="35">
        <f>CHOOSE(MATCH($B$2,{"Base","Bull","Bear"},0),F169,G169,H169)</f>
        <v>88</v>
      </c>
      <c r="J169" s="10"/>
      <c r="K169" s="20" t="s">
        <v>348</v>
      </c>
    </row>
    <row r="170" spans="1:11" x14ac:dyDescent="0.25">
      <c r="A170" s="7" t="s">
        <v>349</v>
      </c>
      <c r="B170" s="10"/>
      <c r="C170" s="10"/>
      <c r="D170" s="10"/>
      <c r="E170" s="10"/>
      <c r="F170" s="34">
        <v>89</v>
      </c>
      <c r="G170" s="34">
        <v>92</v>
      </c>
      <c r="H170" s="34">
        <v>86</v>
      </c>
      <c r="I170" s="35">
        <f>CHOOSE(MATCH($B$2,{"Base","Bull","Bear"},0),F170,G170,H170)</f>
        <v>89</v>
      </c>
      <c r="J170" s="10"/>
      <c r="K170" s="20" t="s">
        <v>350</v>
      </c>
    </row>
    <row r="171" spans="1:11" x14ac:dyDescent="0.25">
      <c r="A171" s="7" t="s">
        <v>351</v>
      </c>
      <c r="B171" s="10"/>
      <c r="C171" s="10"/>
      <c r="D171" s="10"/>
      <c r="E171" s="10"/>
      <c r="F171" s="34">
        <v>90</v>
      </c>
      <c r="G171" s="34">
        <v>94</v>
      </c>
      <c r="H171" s="34">
        <v>87</v>
      </c>
      <c r="I171" s="35">
        <f>CHOOSE(MATCH($B$2,{"Base","Bull","Bear"},0),F171,G171,H171)</f>
        <v>90</v>
      </c>
      <c r="J171" s="10"/>
      <c r="K171" s="20" t="s">
        <v>352</v>
      </c>
    </row>
    <row r="173" spans="1:11" ht="26" x14ac:dyDescent="0.25">
      <c r="A173" s="7" t="s">
        <v>353</v>
      </c>
    </row>
    <row r="174" spans="1:11" ht="24" x14ac:dyDescent="0.25">
      <c r="A174" s="7" t="s">
        <v>354</v>
      </c>
      <c r="B174" s="36">
        <v>23.4</v>
      </c>
      <c r="C174" s="36">
        <v>18.899999999999999</v>
      </c>
      <c r="D174" s="36">
        <v>21.8</v>
      </c>
      <c r="E174" s="10"/>
      <c r="F174" s="37">
        <v>19</v>
      </c>
      <c r="G174" s="37">
        <v>21</v>
      </c>
      <c r="H174" s="37">
        <v>17</v>
      </c>
      <c r="I174" s="38">
        <f>CHOOSE(MATCH($B$2,{"Base","Bull","Bear"},0),F174,G174,H174)</f>
        <v>19</v>
      </c>
      <c r="J174" s="10"/>
      <c r="K174" s="20" t="s">
        <v>355</v>
      </c>
    </row>
    <row r="175" spans="1:11" ht="24" x14ac:dyDescent="0.25">
      <c r="A175" s="7" t="s">
        <v>356</v>
      </c>
      <c r="B175" s="10"/>
      <c r="C175" s="10"/>
      <c r="D175" s="10"/>
      <c r="E175" s="10"/>
      <c r="F175" s="37">
        <v>20</v>
      </c>
      <c r="G175" s="37">
        <v>23</v>
      </c>
      <c r="H175" s="37">
        <v>17.5</v>
      </c>
      <c r="I175" s="38">
        <f>CHOOSE(MATCH($B$2,{"Base","Bull","Bear"},0),F175,G175,H175)</f>
        <v>20</v>
      </c>
      <c r="J175" s="10"/>
      <c r="K175" s="20" t="s">
        <v>357</v>
      </c>
    </row>
    <row r="176" spans="1:11" x14ac:dyDescent="0.25">
      <c r="A176" s="7" t="s">
        <v>358</v>
      </c>
      <c r="B176" s="10"/>
      <c r="C176" s="10"/>
      <c r="D176" s="10"/>
      <c r="E176" s="10"/>
      <c r="F176" s="37">
        <v>21</v>
      </c>
      <c r="G176" s="37">
        <v>25</v>
      </c>
      <c r="H176" s="37">
        <v>18</v>
      </c>
      <c r="I176" s="38">
        <f>CHOOSE(MATCH($B$2,{"Base","Bull","Bear"},0),F176,G176,H176)</f>
        <v>21</v>
      </c>
      <c r="J176" s="10"/>
      <c r="K176" s="20" t="s">
        <v>359</v>
      </c>
    </row>
    <row r="178" spans="1:11" ht="26" x14ac:dyDescent="0.25">
      <c r="A178" s="7" t="s">
        <v>360</v>
      </c>
    </row>
    <row r="179" spans="1:11" ht="24" x14ac:dyDescent="0.25">
      <c r="A179" s="7" t="s">
        <v>361</v>
      </c>
      <c r="B179" s="42">
        <v>3378</v>
      </c>
      <c r="C179" s="42">
        <v>1941</v>
      </c>
      <c r="D179" s="42">
        <v>1663</v>
      </c>
      <c r="E179" s="10"/>
      <c r="F179" s="43">
        <v>1800</v>
      </c>
      <c r="G179" s="43">
        <v>2200</v>
      </c>
      <c r="H179" s="43">
        <v>1500</v>
      </c>
      <c r="I179" s="44">
        <f>CHOOSE(MATCH($B$2,{"Base","Bull","Bear"},0),F179,G179,H179)</f>
        <v>1800</v>
      </c>
      <c r="J179" s="10"/>
      <c r="K179" s="20" t="s">
        <v>362</v>
      </c>
    </row>
    <row r="180" spans="1:11" x14ac:dyDescent="0.25">
      <c r="A180" s="7" t="s">
        <v>363</v>
      </c>
      <c r="B180" s="10"/>
      <c r="C180" s="10"/>
      <c r="D180" s="10"/>
      <c r="E180" s="10"/>
      <c r="F180" s="43">
        <v>2000</v>
      </c>
      <c r="G180" s="43">
        <v>2600</v>
      </c>
      <c r="H180" s="43">
        <v>1600</v>
      </c>
      <c r="I180" s="44">
        <f>CHOOSE(MATCH($B$2,{"Base","Bull","Bear"},0),F180,G180,H180)</f>
        <v>2000</v>
      </c>
      <c r="J180" s="10"/>
      <c r="K180" s="20" t="s">
        <v>364</v>
      </c>
    </row>
    <row r="181" spans="1:11" x14ac:dyDescent="0.25">
      <c r="A181" s="7" t="s">
        <v>365</v>
      </c>
      <c r="B181" s="10"/>
      <c r="C181" s="10"/>
      <c r="D181" s="10"/>
      <c r="E181" s="10"/>
      <c r="F181" s="43">
        <v>2200</v>
      </c>
      <c r="G181" s="43">
        <v>3000</v>
      </c>
      <c r="H181" s="43">
        <v>1700</v>
      </c>
      <c r="I181" s="44">
        <f>CHOOSE(MATCH($B$2,{"Base","Bull","Bear"},0),F181,G181,H181)</f>
        <v>2200</v>
      </c>
      <c r="J181" s="10"/>
      <c r="K181" s="20" t="s">
        <v>366</v>
      </c>
    </row>
    <row r="183" spans="1:11" ht="15" x14ac:dyDescent="0.35">
      <c r="A183" s="9" t="s">
        <v>367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20" t="s">
        <v>368</v>
      </c>
    </row>
    <row r="184" spans="1:11" x14ac:dyDescent="0.25">
      <c r="A184" s="7" t="s">
        <v>369</v>
      </c>
      <c r="B184" s="42">
        <v>0</v>
      </c>
      <c r="C184" s="42">
        <v>50</v>
      </c>
      <c r="D184" s="42">
        <v>150</v>
      </c>
      <c r="E184" s="10"/>
      <c r="F184" s="43">
        <v>700</v>
      </c>
      <c r="G184" s="43">
        <v>1000</v>
      </c>
      <c r="H184" s="43">
        <v>400</v>
      </c>
      <c r="I184" s="44">
        <f>CHOOSE(MATCH($B$2,{"Base","Bull","Bear"},0),F184,G184,H184)</f>
        <v>700</v>
      </c>
      <c r="J184" s="10"/>
      <c r="K184" s="20" t="s">
        <v>370</v>
      </c>
    </row>
    <row r="185" spans="1:11" x14ac:dyDescent="0.25">
      <c r="A185" s="7" t="s">
        <v>371</v>
      </c>
      <c r="B185" s="10"/>
      <c r="C185" s="10"/>
      <c r="D185" s="10"/>
      <c r="E185" s="10"/>
      <c r="F185" s="43">
        <v>1500</v>
      </c>
      <c r="G185" s="43">
        <v>3000</v>
      </c>
      <c r="H185" s="43">
        <v>800</v>
      </c>
      <c r="I185" s="44">
        <f>CHOOSE(MATCH($B$2,{"Base","Bull","Bear"},0),F185,G185,H185)</f>
        <v>1500</v>
      </c>
      <c r="J185" s="10"/>
      <c r="K185" s="20" t="s">
        <v>372</v>
      </c>
    </row>
    <row r="186" spans="1:11" x14ac:dyDescent="0.25">
      <c r="A186" s="7" t="s">
        <v>373</v>
      </c>
      <c r="B186" s="10"/>
      <c r="C186" s="10"/>
      <c r="D186" s="10"/>
      <c r="E186" s="10"/>
      <c r="F186" s="43">
        <v>2500</v>
      </c>
      <c r="G186" s="43">
        <v>5000</v>
      </c>
      <c r="H186" s="43">
        <v>1200</v>
      </c>
      <c r="I186" s="44">
        <f>CHOOSE(MATCH($B$2,{"Base","Bull","Bear"},0),F186,G186,H186)</f>
        <v>2500</v>
      </c>
      <c r="J186" s="10"/>
      <c r="K186" s="20" t="s">
        <v>374</v>
      </c>
    </row>
    <row r="188" spans="1:11" ht="24" x14ac:dyDescent="0.25">
      <c r="A188" s="7" t="s">
        <v>375</v>
      </c>
      <c r="B188" s="10"/>
      <c r="C188" s="10"/>
      <c r="D188" s="10"/>
      <c r="E188" s="10"/>
      <c r="F188" s="43">
        <v>-200</v>
      </c>
      <c r="G188" s="43">
        <v>-200</v>
      </c>
      <c r="H188" s="43">
        <v>-200</v>
      </c>
      <c r="I188" s="44">
        <f>CHOOSE(MATCH($B$2,{"Base","Bull","Bear"},0),F188,G188,H188)</f>
        <v>-200</v>
      </c>
      <c r="J188" s="10"/>
      <c r="K188" s="20" t="s">
        <v>376</v>
      </c>
    </row>
    <row r="191" spans="1:11" x14ac:dyDescent="0.25">
      <c r="A191" s="7" t="s">
        <v>101</v>
      </c>
    </row>
    <row r="192" spans="1:11" ht="14.5" x14ac:dyDescent="0.3">
      <c r="A192" s="80" t="s">
        <v>102</v>
      </c>
      <c r="B192" s="69"/>
      <c r="C192" s="69"/>
      <c r="D192" s="69"/>
      <c r="E192" s="69"/>
      <c r="F192" s="69"/>
    </row>
    <row r="193" spans="1:6" ht="14.5" x14ac:dyDescent="0.3">
      <c r="A193" s="76" t="s">
        <v>103</v>
      </c>
      <c r="B193" s="69"/>
      <c r="C193" s="69"/>
      <c r="D193" s="69"/>
      <c r="E193" s="69"/>
      <c r="F193" s="69"/>
    </row>
    <row r="194" spans="1:6" ht="14.5" x14ac:dyDescent="0.3">
      <c r="A194" s="78" t="s">
        <v>104</v>
      </c>
      <c r="B194" s="69"/>
      <c r="C194" s="69"/>
      <c r="D194" s="69"/>
      <c r="E194" s="69"/>
      <c r="F194" s="69"/>
    </row>
    <row r="195" spans="1:6" ht="14.5" x14ac:dyDescent="0.3">
      <c r="A195" s="79" t="s">
        <v>105</v>
      </c>
      <c r="B195" s="69"/>
      <c r="C195" s="69"/>
      <c r="D195" s="69"/>
      <c r="E195" s="69"/>
      <c r="F195" s="69"/>
    </row>
    <row r="196" spans="1:6" ht="14.5" x14ac:dyDescent="0.3">
      <c r="A196" s="79" t="s">
        <v>106</v>
      </c>
      <c r="B196" s="69"/>
      <c r="C196" s="69"/>
      <c r="D196" s="69"/>
      <c r="E196" s="69"/>
      <c r="F196" s="69"/>
    </row>
    <row r="197" spans="1:6" x14ac:dyDescent="0.25">
      <c r="A197" s="69" t="s">
        <v>107</v>
      </c>
      <c r="B197" s="69"/>
      <c r="C197" s="69"/>
      <c r="D197" s="69"/>
      <c r="E197" s="69"/>
      <c r="F197" s="69"/>
    </row>
    <row r="199" spans="1:6" x14ac:dyDescent="0.25">
      <c r="A199" s="7" t="s">
        <v>108</v>
      </c>
    </row>
    <row r="200" spans="1:6" ht="14.5" x14ac:dyDescent="0.3">
      <c r="A200" s="74" t="s">
        <v>109</v>
      </c>
      <c r="B200" s="69"/>
      <c r="C200" s="69"/>
      <c r="D200" s="69"/>
      <c r="E200" s="69"/>
      <c r="F200" s="69"/>
    </row>
    <row r="201" spans="1:6" ht="14.5" x14ac:dyDescent="0.3">
      <c r="A201" s="74" t="s">
        <v>110</v>
      </c>
      <c r="B201" s="69"/>
      <c r="C201" s="69"/>
      <c r="D201" s="69"/>
      <c r="E201" s="69"/>
      <c r="F201" s="69"/>
    </row>
    <row r="202" spans="1:6" ht="14.5" x14ac:dyDescent="0.3">
      <c r="A202" s="74" t="s">
        <v>111</v>
      </c>
      <c r="B202" s="69"/>
      <c r="C202" s="69"/>
      <c r="D202" s="69"/>
      <c r="E202" s="69"/>
      <c r="F202" s="69"/>
    </row>
    <row r="203" spans="1:6" ht="14.5" x14ac:dyDescent="0.3">
      <c r="A203" s="74" t="s">
        <v>112</v>
      </c>
      <c r="B203" s="69"/>
      <c r="C203" s="69"/>
      <c r="D203" s="69"/>
      <c r="E203" s="69"/>
      <c r="F203" s="69"/>
    </row>
    <row r="204" spans="1:6" ht="14.5" x14ac:dyDescent="0.3">
      <c r="A204" s="74" t="s">
        <v>113</v>
      </c>
      <c r="B204" s="69"/>
      <c r="C204" s="69"/>
      <c r="D204" s="69"/>
      <c r="E204" s="69"/>
      <c r="F204" s="69"/>
    </row>
  </sheetData>
  <mergeCells count="12">
    <mergeCell ref="A204:F204"/>
    <mergeCell ref="A1:J1"/>
    <mergeCell ref="A193:F193"/>
    <mergeCell ref="A203:F203"/>
    <mergeCell ref="A194:F194"/>
    <mergeCell ref="A197:F197"/>
    <mergeCell ref="A202:F202"/>
    <mergeCell ref="A192:F192"/>
    <mergeCell ref="A201:F201"/>
    <mergeCell ref="A200:F200"/>
    <mergeCell ref="A195:F195"/>
    <mergeCell ref="A196:F196"/>
  </mergeCells>
  <phoneticPr fontId="26" type="noConversion"/>
  <dataValidations count="1">
    <dataValidation type="list" errorTitle="Invalid Scenario" error="Please select Base, Bull, or Bear" promptTitle="Scenario" prompt="Select scenario" sqref="B2">
      <formula1>"Base,Bull,Bear"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93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377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43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x14ac:dyDescent="0.25">
      <c r="A3" s="11"/>
      <c r="B3" s="12" t="s">
        <v>46</v>
      </c>
      <c r="C3" s="12" t="s">
        <v>47</v>
      </c>
      <c r="D3" s="12" t="s">
        <v>48</v>
      </c>
      <c r="E3" s="11"/>
      <c r="F3" s="12" t="s">
        <v>49</v>
      </c>
      <c r="G3" s="12" t="s">
        <v>50</v>
      </c>
      <c r="H3" s="12" t="s">
        <v>51</v>
      </c>
      <c r="I3" s="11"/>
      <c r="J3" s="11"/>
      <c r="K3" s="12" t="s">
        <v>52</v>
      </c>
    </row>
    <row r="4" spans="1:11" x14ac:dyDescent="0.25">
      <c r="A4" s="7" t="s">
        <v>378</v>
      </c>
      <c r="K4" s="20" t="s">
        <v>379</v>
      </c>
    </row>
    <row r="5" spans="1:11" ht="15" x14ac:dyDescent="0.35">
      <c r="A5" s="9" t="s">
        <v>380</v>
      </c>
      <c r="B5" s="10"/>
      <c r="C5" s="10"/>
      <c r="D5" s="10"/>
      <c r="E5" s="10"/>
      <c r="F5" s="10"/>
      <c r="G5" s="10"/>
      <c r="H5" s="10"/>
      <c r="I5" s="10"/>
      <c r="J5" s="10"/>
    </row>
    <row r="6" spans="1:11" ht="26" x14ac:dyDescent="0.25">
      <c r="A6" s="7" t="s">
        <v>381</v>
      </c>
      <c r="K6" s="20" t="s">
        <v>382</v>
      </c>
    </row>
    <row r="7" spans="1:11" x14ac:dyDescent="0.25">
      <c r="A7" s="7" t="s">
        <v>383</v>
      </c>
      <c r="B7" s="33">
        <v>241.8</v>
      </c>
      <c r="C7" s="33">
        <v>245.4</v>
      </c>
      <c r="D7" s="33">
        <v>258.60000000000002</v>
      </c>
      <c r="F7" s="45">
        <f>Assumptions!I44</f>
        <v>260</v>
      </c>
      <c r="G7" s="45">
        <f>Assumptions!I45</f>
        <v>265</v>
      </c>
      <c r="H7" s="45">
        <f>Assumptions!I46</f>
        <v>270</v>
      </c>
      <c r="K7" s="20" t="s">
        <v>384</v>
      </c>
    </row>
    <row r="8" spans="1:11" x14ac:dyDescent="0.25">
      <c r="A8" s="7" t="s">
        <v>385</v>
      </c>
      <c r="B8" s="29">
        <v>0.71</v>
      </c>
      <c r="C8" s="29">
        <v>0.71499999999999997</v>
      </c>
      <c r="D8" s="29">
        <v>0.72</v>
      </c>
      <c r="F8" s="46">
        <f>Assumptions!I49</f>
        <v>0.72</v>
      </c>
      <c r="G8" s="46">
        <f>Assumptions!I50</f>
        <v>0.72499999999999998</v>
      </c>
      <c r="H8" s="46">
        <f>Assumptions!I51</f>
        <v>0.73</v>
      </c>
      <c r="K8" s="20" t="s">
        <v>386</v>
      </c>
    </row>
    <row r="9" spans="1:11" x14ac:dyDescent="0.25">
      <c r="A9" s="7" t="s">
        <v>387</v>
      </c>
      <c r="B9" s="47">
        <f>B7*B8</f>
        <v>171.678</v>
      </c>
      <c r="C9" s="47">
        <f>C7*C8</f>
        <v>175.46099999999998</v>
      </c>
      <c r="D9" s="47">
        <f>D7*D8</f>
        <v>186.19200000000001</v>
      </c>
      <c r="F9" s="47">
        <f>F7*F8</f>
        <v>187.2</v>
      </c>
      <c r="G9" s="47">
        <f>G7*G8</f>
        <v>192.125</v>
      </c>
      <c r="H9" s="47">
        <f>H7*H8</f>
        <v>197.1</v>
      </c>
      <c r="K9" s="20" t="s">
        <v>388</v>
      </c>
    </row>
    <row r="10" spans="1:11" x14ac:dyDescent="0.25">
      <c r="A10" s="7" t="s">
        <v>389</v>
      </c>
      <c r="B10" s="36">
        <v>188</v>
      </c>
      <c r="C10" s="36">
        <v>190</v>
      </c>
      <c r="D10" s="36">
        <v>173</v>
      </c>
      <c r="F10" s="48">
        <f>Assumptions!I54</f>
        <v>175</v>
      </c>
      <c r="G10" s="48">
        <f>Assumptions!I55</f>
        <v>182</v>
      </c>
      <c r="H10" s="48">
        <f>Assumptions!I56</f>
        <v>184</v>
      </c>
      <c r="K10" s="20" t="s">
        <v>390</v>
      </c>
    </row>
    <row r="11" spans="1:11" x14ac:dyDescent="0.25">
      <c r="A11" s="7" t="s">
        <v>391</v>
      </c>
      <c r="B11" s="49">
        <f>B9*B10</f>
        <v>32275.464</v>
      </c>
      <c r="C11" s="49">
        <f>C9*C10</f>
        <v>33337.589999999997</v>
      </c>
      <c r="D11" s="49">
        <f>D9*D10</f>
        <v>32211.216</v>
      </c>
      <c r="F11" s="49">
        <f>F9*F10</f>
        <v>32759.999999999996</v>
      </c>
      <c r="G11" s="49">
        <f>G9*G10</f>
        <v>34966.75</v>
      </c>
      <c r="H11" s="49">
        <f>H9*H10</f>
        <v>36266.400000000001</v>
      </c>
      <c r="K11" s="20" t="s">
        <v>392</v>
      </c>
    </row>
    <row r="12" spans="1:11" ht="24" x14ac:dyDescent="0.25">
      <c r="A12" s="7" t="s">
        <v>393</v>
      </c>
      <c r="B12" s="17">
        <f>Segment_Revenue!B5</f>
        <v>32305</v>
      </c>
      <c r="C12" s="17">
        <f>Segment_Revenue!C5</f>
        <v>33346</v>
      </c>
      <c r="D12" s="17">
        <f>Segment_Revenue!D5</f>
        <v>32228</v>
      </c>
      <c r="F12" s="17">
        <f>F11</f>
        <v>32759.999999999996</v>
      </c>
      <c r="G12" s="17">
        <f>G11</f>
        <v>34966.75</v>
      </c>
      <c r="H12" s="17">
        <f>H11</f>
        <v>36266.400000000001</v>
      </c>
      <c r="K12" s="20" t="s">
        <v>394</v>
      </c>
    </row>
    <row r="13" spans="1:11" ht="24" x14ac:dyDescent="0.35">
      <c r="A13" s="9" t="s">
        <v>395</v>
      </c>
      <c r="B13" s="49">
        <f>B11-B12</f>
        <v>-29.536000000000058</v>
      </c>
      <c r="C13" s="49">
        <f>C11-C12</f>
        <v>-8.4100000000034925</v>
      </c>
      <c r="D13" s="49">
        <f>D11-D12</f>
        <v>-16.783999999999651</v>
      </c>
      <c r="E13" s="10"/>
      <c r="F13" s="49">
        <f>F11-F12</f>
        <v>0</v>
      </c>
      <c r="G13" s="49">
        <f>G11-G12</f>
        <v>0</v>
      </c>
      <c r="H13" s="49">
        <f>H11-H12</f>
        <v>0</v>
      </c>
      <c r="I13" s="10"/>
      <c r="J13" s="10"/>
      <c r="K13" s="20" t="s">
        <v>396</v>
      </c>
    </row>
    <row r="14" spans="1:11" x14ac:dyDescent="0.25">
      <c r="A14" s="7" t="s">
        <v>397</v>
      </c>
      <c r="B14" s="14">
        <f>B13/B12</f>
        <v>-9.1428571428571611E-4</v>
      </c>
      <c r="C14" s="14">
        <f>C13/C12</f>
        <v>-2.5220416241838577E-4</v>
      </c>
      <c r="D14" s="14">
        <f>D13/D12</f>
        <v>-5.2078937569813983E-4</v>
      </c>
      <c r="F14" s="14">
        <f>F13/F12</f>
        <v>0</v>
      </c>
      <c r="G14" s="14">
        <f>G13/G12</f>
        <v>0</v>
      </c>
      <c r="H14" s="14">
        <f>H13/H12</f>
        <v>0</v>
      </c>
      <c r="K14" s="20" t="s">
        <v>398</v>
      </c>
    </row>
    <row r="16" spans="1:11" ht="15" x14ac:dyDescent="0.35">
      <c r="A16" s="9" t="s">
        <v>399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1" ht="26" x14ac:dyDescent="0.25">
      <c r="A17" s="7" t="s">
        <v>400</v>
      </c>
      <c r="K17" s="20" t="s">
        <v>401</v>
      </c>
    </row>
    <row r="18" spans="1:11" ht="24" x14ac:dyDescent="0.25">
      <c r="A18" s="7" t="s">
        <v>402</v>
      </c>
      <c r="B18" s="33">
        <v>11.5</v>
      </c>
      <c r="C18" s="33">
        <v>12</v>
      </c>
      <c r="D18" s="33">
        <v>13.5</v>
      </c>
      <c r="F18" s="45">
        <f>Assumptions!I60</f>
        <v>13.5</v>
      </c>
      <c r="G18" s="45">
        <f>Assumptions!I61</f>
        <v>14.5</v>
      </c>
      <c r="H18" s="45">
        <f>Assumptions!I62</f>
        <v>15.5</v>
      </c>
      <c r="K18" s="20" t="s">
        <v>403</v>
      </c>
    </row>
    <row r="19" spans="1:11" ht="24" x14ac:dyDescent="0.25">
      <c r="A19" s="7" t="s">
        <v>404</v>
      </c>
      <c r="B19" s="29">
        <v>0.77500000000000002</v>
      </c>
      <c r="C19" s="29">
        <v>0.76</v>
      </c>
      <c r="D19" s="29">
        <v>0.73</v>
      </c>
      <c r="F19" s="46">
        <f>Assumptions!I65</f>
        <v>0.7</v>
      </c>
      <c r="G19" s="46">
        <f>Assumptions!I66</f>
        <v>0.7</v>
      </c>
      <c r="H19" s="46">
        <f>Assumptions!I67</f>
        <v>0.7</v>
      </c>
      <c r="K19" s="20" t="s">
        <v>405</v>
      </c>
    </row>
    <row r="20" spans="1:11" x14ac:dyDescent="0.25">
      <c r="A20" s="7" t="s">
        <v>406</v>
      </c>
      <c r="B20" s="47">
        <f>B18*B19</f>
        <v>8.9124999999999996</v>
      </c>
      <c r="C20" s="47">
        <f>C18*C19</f>
        <v>9.120000000000001</v>
      </c>
      <c r="D20" s="47">
        <f>D18*D19</f>
        <v>9.8550000000000004</v>
      </c>
      <c r="F20" s="47">
        <f>F18*F19</f>
        <v>9.4499999999999993</v>
      </c>
      <c r="G20" s="47">
        <f>G18*G19</f>
        <v>10.149999999999999</v>
      </c>
      <c r="H20" s="47">
        <f>H18*H19</f>
        <v>10.85</v>
      </c>
      <c r="K20" s="20" t="s">
        <v>407</v>
      </c>
    </row>
    <row r="21" spans="1:11" x14ac:dyDescent="0.25">
      <c r="A21" s="7" t="s">
        <v>408</v>
      </c>
      <c r="B21" s="42">
        <v>1772</v>
      </c>
      <c r="C21" s="42">
        <v>1712</v>
      </c>
      <c r="D21" s="42">
        <v>1632</v>
      </c>
      <c r="F21" s="17">
        <f>Assumptions!I70</f>
        <v>1600</v>
      </c>
      <c r="G21" s="17">
        <f>Assumptions!I71</f>
        <v>1700</v>
      </c>
      <c r="H21" s="17">
        <f>Assumptions!I72</f>
        <v>1750</v>
      </c>
      <c r="K21" s="20" t="s">
        <v>409</v>
      </c>
    </row>
    <row r="22" spans="1:11" x14ac:dyDescent="0.25">
      <c r="A22" s="7" t="s">
        <v>410</v>
      </c>
      <c r="B22" s="49">
        <f>B20*B21</f>
        <v>15792.949999999999</v>
      </c>
      <c r="C22" s="49">
        <f>C20*C21</f>
        <v>15613.440000000002</v>
      </c>
      <c r="D22" s="49">
        <f>D20*D21</f>
        <v>16083.36</v>
      </c>
      <c r="F22" s="49">
        <f>F20*F21</f>
        <v>15119.999999999998</v>
      </c>
      <c r="G22" s="49">
        <f>G20*G21</f>
        <v>17254.999999999996</v>
      </c>
      <c r="H22" s="49">
        <f>H20*H21</f>
        <v>18987.5</v>
      </c>
      <c r="K22" s="20" t="s">
        <v>411</v>
      </c>
    </row>
    <row r="23" spans="1:11" ht="24" x14ac:dyDescent="0.25">
      <c r="A23" s="7" t="s">
        <v>412</v>
      </c>
      <c r="B23" s="42">
        <v>200</v>
      </c>
      <c r="C23" s="42">
        <v>500</v>
      </c>
      <c r="D23" s="42">
        <v>800</v>
      </c>
      <c r="F23" s="17">
        <f>Assumptions!I75</f>
        <v>2800</v>
      </c>
      <c r="G23" s="17">
        <f>Assumptions!I76</f>
        <v>4500</v>
      </c>
      <c r="H23" s="17">
        <f>Assumptions!I77</f>
        <v>6000</v>
      </c>
      <c r="K23" s="20" t="s">
        <v>413</v>
      </c>
    </row>
    <row r="24" spans="1:11" x14ac:dyDescent="0.25">
      <c r="A24" s="7" t="s">
        <v>414</v>
      </c>
      <c r="B24" s="49">
        <f>B22+B23</f>
        <v>15992.949999999999</v>
      </c>
      <c r="C24" s="49">
        <f>C22+C23</f>
        <v>16113.440000000002</v>
      </c>
      <c r="D24" s="49">
        <f>D22+D23</f>
        <v>16883.36</v>
      </c>
      <c r="F24" s="49">
        <f>F22+F23</f>
        <v>17920</v>
      </c>
      <c r="G24" s="49">
        <f>G22+G23</f>
        <v>21754.999999999996</v>
      </c>
      <c r="H24" s="49">
        <f>H22+H23</f>
        <v>24987.5</v>
      </c>
      <c r="K24" s="20" t="s">
        <v>415</v>
      </c>
    </row>
    <row r="25" spans="1:11" ht="24" x14ac:dyDescent="0.25">
      <c r="A25" s="7" t="s">
        <v>416</v>
      </c>
      <c r="B25" s="17">
        <f>Segment_Revenue!B8</f>
        <v>15980</v>
      </c>
      <c r="C25" s="17">
        <f>Segment_Revenue!C8</f>
        <v>16125</v>
      </c>
      <c r="D25" s="17">
        <f>Segment_Revenue!D8</f>
        <v>16919</v>
      </c>
      <c r="F25" s="17">
        <f>F24</f>
        <v>17920</v>
      </c>
      <c r="G25" s="17">
        <f>G24</f>
        <v>21754.999999999996</v>
      </c>
      <c r="H25" s="17">
        <f>H24</f>
        <v>24987.5</v>
      </c>
      <c r="K25" s="20" t="s">
        <v>394</v>
      </c>
    </row>
    <row r="26" spans="1:11" ht="24" x14ac:dyDescent="0.35">
      <c r="A26" s="9" t="s">
        <v>395</v>
      </c>
      <c r="B26" s="49">
        <f>B24-B25</f>
        <v>12.949999999998909</v>
      </c>
      <c r="C26" s="49">
        <f>C24-C25</f>
        <v>-11.559999999997672</v>
      </c>
      <c r="D26" s="49">
        <f>D24-D25</f>
        <v>-35.639999999999418</v>
      </c>
      <c r="E26" s="10"/>
      <c r="F26" s="49">
        <f>F24-F25</f>
        <v>0</v>
      </c>
      <c r="G26" s="49">
        <f>G24-G25</f>
        <v>0</v>
      </c>
      <c r="H26" s="49">
        <f>H24-H25</f>
        <v>0</v>
      </c>
      <c r="I26" s="10"/>
      <c r="J26" s="10"/>
      <c r="K26" s="20" t="s">
        <v>417</v>
      </c>
    </row>
    <row r="27" spans="1:11" x14ac:dyDescent="0.25">
      <c r="A27" s="7" t="s">
        <v>397</v>
      </c>
      <c r="B27" s="14">
        <f>B26/B25</f>
        <v>8.1038798498115825E-4</v>
      </c>
      <c r="C27" s="14">
        <f>C26/C25</f>
        <v>-7.1689922480605713E-4</v>
      </c>
      <c r="D27" s="14">
        <f>D26/D25</f>
        <v>-2.106507476801195E-3</v>
      </c>
      <c r="F27" s="14">
        <f>F26/F25</f>
        <v>0</v>
      </c>
      <c r="G27" s="14">
        <f>G26/G25</f>
        <v>0</v>
      </c>
      <c r="H27" s="14">
        <f>H26/H25</f>
        <v>0</v>
      </c>
      <c r="K27" s="20" t="s">
        <v>398</v>
      </c>
    </row>
    <row r="29" spans="1:11" ht="15" x14ac:dyDescent="0.35">
      <c r="A29" s="9" t="s">
        <v>418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1" ht="26" x14ac:dyDescent="0.25">
      <c r="A30" s="7" t="s">
        <v>419</v>
      </c>
      <c r="K30" s="20" t="s">
        <v>420</v>
      </c>
    </row>
    <row r="31" spans="1:11" x14ac:dyDescent="0.25">
      <c r="A31" s="7" t="s">
        <v>421</v>
      </c>
      <c r="B31" s="47">
        <f>B9+B20</f>
        <v>180.59049999999999</v>
      </c>
      <c r="C31" s="47">
        <f>C9+C20</f>
        <v>184.58099999999999</v>
      </c>
      <c r="D31" s="47">
        <f>D9+D20</f>
        <v>196.047</v>
      </c>
      <c r="F31" s="47">
        <f>F9+F20</f>
        <v>196.64999999999998</v>
      </c>
      <c r="G31" s="47">
        <f>G9+G20</f>
        <v>202.27500000000001</v>
      </c>
      <c r="H31" s="47">
        <f>H9+H20</f>
        <v>207.95</v>
      </c>
      <c r="K31" s="20" t="s">
        <v>422</v>
      </c>
    </row>
    <row r="32" spans="1:11" ht="24" x14ac:dyDescent="0.25">
      <c r="A32" s="7" t="s">
        <v>423</v>
      </c>
      <c r="B32" s="36">
        <v>102.2</v>
      </c>
      <c r="C32" s="36">
        <v>93.5</v>
      </c>
      <c r="D32" s="36">
        <v>90.1</v>
      </c>
      <c r="F32" s="48">
        <f>Assumptions!I163</f>
        <v>90</v>
      </c>
      <c r="G32" s="48">
        <f>Assumptions!I164</f>
        <v>92</v>
      </c>
      <c r="H32" s="48">
        <f>Assumptions!I165</f>
        <v>95</v>
      </c>
      <c r="K32" s="20" t="s">
        <v>424</v>
      </c>
    </row>
    <row r="33" spans="1:11" ht="24" x14ac:dyDescent="0.25">
      <c r="A33" s="7" t="s">
        <v>425</v>
      </c>
      <c r="B33" s="49">
        <f>B31*B32</f>
        <v>18456.349099999999</v>
      </c>
      <c r="C33" s="49">
        <f>C31*C32</f>
        <v>17258.323499999999</v>
      </c>
      <c r="D33" s="49">
        <f>D31*D32</f>
        <v>17663.834699999999</v>
      </c>
      <c r="F33" s="49">
        <f>F31*F32</f>
        <v>17698.499999999996</v>
      </c>
      <c r="G33" s="49">
        <f>G31*G32</f>
        <v>18609.3</v>
      </c>
      <c r="H33" s="49">
        <f>H31*H32</f>
        <v>19755.25</v>
      </c>
      <c r="K33" s="20" t="s">
        <v>426</v>
      </c>
    </row>
    <row r="34" spans="1:11" ht="24" x14ac:dyDescent="0.25">
      <c r="A34" s="7" t="s">
        <v>427</v>
      </c>
      <c r="B34" s="42">
        <v>50</v>
      </c>
      <c r="C34" s="42">
        <v>60</v>
      </c>
      <c r="D34" s="42">
        <v>150</v>
      </c>
      <c r="F34" s="17">
        <f>Assumptions!I184</f>
        <v>700</v>
      </c>
      <c r="G34" s="17">
        <f>Assumptions!I185</f>
        <v>1500</v>
      </c>
      <c r="H34" s="17">
        <f>Assumptions!I186</f>
        <v>2500</v>
      </c>
      <c r="K34" s="20" t="s">
        <v>428</v>
      </c>
    </row>
    <row r="35" spans="1:11" x14ac:dyDescent="0.25">
      <c r="A35" s="7" t="s">
        <v>429</v>
      </c>
      <c r="B35" s="49">
        <f>B33+B34</f>
        <v>18506.349099999999</v>
      </c>
      <c r="C35" s="49">
        <f>C33+C34</f>
        <v>17318.323499999999</v>
      </c>
      <c r="D35" s="49">
        <f>D33+D34</f>
        <v>17813.834699999999</v>
      </c>
      <c r="F35" s="49">
        <f>F33+F34</f>
        <v>18398.499999999996</v>
      </c>
      <c r="G35" s="49">
        <f>G33+G34</f>
        <v>20109.3</v>
      </c>
      <c r="H35" s="49">
        <f>H33+H34</f>
        <v>22255.25</v>
      </c>
      <c r="K35" s="20" t="s">
        <v>430</v>
      </c>
    </row>
    <row r="36" spans="1:11" ht="24" x14ac:dyDescent="0.25">
      <c r="A36" s="7" t="s">
        <v>431</v>
      </c>
      <c r="B36" s="17">
        <f>Segment_Revenue!B11</f>
        <v>18504</v>
      </c>
      <c r="C36" s="17">
        <f>Segment_Revenue!C11</f>
        <v>17317</v>
      </c>
      <c r="D36" s="17">
        <f>Segment_Revenue!D11</f>
        <v>17826</v>
      </c>
      <c r="F36" s="17">
        <f>F35</f>
        <v>18398.499999999996</v>
      </c>
      <c r="G36" s="17">
        <f>G35</f>
        <v>20109.3</v>
      </c>
      <c r="H36" s="17">
        <f>H35</f>
        <v>22255.25</v>
      </c>
      <c r="K36" s="20" t="s">
        <v>394</v>
      </c>
    </row>
    <row r="37" spans="1:11" ht="24" x14ac:dyDescent="0.35">
      <c r="A37" s="9" t="s">
        <v>395</v>
      </c>
      <c r="B37" s="49">
        <f>B35-B36</f>
        <v>2.3490999999994528</v>
      </c>
      <c r="C37" s="49">
        <f>C35-C36</f>
        <v>1.323499999998603</v>
      </c>
      <c r="D37" s="49">
        <f>D35-D36</f>
        <v>-12.16530000000057</v>
      </c>
      <c r="E37" s="10"/>
      <c r="F37" s="49">
        <f>F35-F36</f>
        <v>0</v>
      </c>
      <c r="G37" s="49">
        <f>G35-G36</f>
        <v>0</v>
      </c>
      <c r="H37" s="49">
        <f>H35-H36</f>
        <v>0</v>
      </c>
      <c r="I37" s="10"/>
      <c r="J37" s="10"/>
      <c r="K37" s="20" t="s">
        <v>432</v>
      </c>
    </row>
    <row r="38" spans="1:11" x14ac:dyDescent="0.25">
      <c r="A38" s="7" t="s">
        <v>397</v>
      </c>
      <c r="B38" s="14">
        <f>B37/B36</f>
        <v>1.2695092952872097E-4</v>
      </c>
      <c r="C38" s="14">
        <f>C37/C36</f>
        <v>7.6427787722966044E-5</v>
      </c>
      <c r="D38" s="14">
        <f>D37/D36</f>
        <v>-6.824469875463127E-4</v>
      </c>
      <c r="F38" s="14">
        <f>F37/F36</f>
        <v>0</v>
      </c>
      <c r="G38" s="14">
        <f>G37/G36</f>
        <v>0</v>
      </c>
      <c r="H38" s="14">
        <f>H37/H36</f>
        <v>0</v>
      </c>
      <c r="K38" s="20" t="s">
        <v>398</v>
      </c>
    </row>
    <row r="40" spans="1:11" ht="15" x14ac:dyDescent="0.35">
      <c r="A40" s="9" t="s">
        <v>433</v>
      </c>
      <c r="B40" s="10"/>
      <c r="C40" s="10"/>
      <c r="D40" s="10"/>
      <c r="E40" s="10"/>
      <c r="F40" s="10"/>
      <c r="G40" s="10"/>
      <c r="H40" s="10"/>
      <c r="I40" s="10"/>
      <c r="J40" s="10"/>
    </row>
    <row r="41" spans="1:11" ht="26" x14ac:dyDescent="0.25">
      <c r="A41" s="7" t="s">
        <v>434</v>
      </c>
      <c r="K41" s="20" t="s">
        <v>435</v>
      </c>
    </row>
    <row r="42" spans="1:11" x14ac:dyDescent="0.25">
      <c r="A42" s="7" t="s">
        <v>436</v>
      </c>
      <c r="B42" s="33">
        <v>89</v>
      </c>
      <c r="C42" s="33">
        <v>88</v>
      </c>
      <c r="D42" s="33">
        <v>87</v>
      </c>
      <c r="F42" s="45">
        <f>Assumptions!I169</f>
        <v>88</v>
      </c>
      <c r="G42" s="45">
        <f>Assumptions!I170</f>
        <v>89</v>
      </c>
      <c r="H42" s="45">
        <f>Assumptions!I171</f>
        <v>90</v>
      </c>
      <c r="K42" s="20" t="s">
        <v>437</v>
      </c>
    </row>
    <row r="43" spans="1:11" ht="24" x14ac:dyDescent="0.25">
      <c r="A43" s="7" t="s">
        <v>438</v>
      </c>
      <c r="B43" s="36">
        <v>23.4</v>
      </c>
      <c r="C43" s="36">
        <v>18.899999999999999</v>
      </c>
      <c r="D43" s="36">
        <v>21.8</v>
      </c>
      <c r="F43" s="48">
        <f>Assumptions!I174</f>
        <v>19</v>
      </c>
      <c r="G43" s="48">
        <f>Assumptions!I175</f>
        <v>20</v>
      </c>
      <c r="H43" s="48">
        <f>Assumptions!I176</f>
        <v>21</v>
      </c>
      <c r="K43" s="20" t="s">
        <v>439</v>
      </c>
    </row>
    <row r="44" spans="1:11" x14ac:dyDescent="0.25">
      <c r="A44" s="7" t="s">
        <v>440</v>
      </c>
      <c r="B44" s="49">
        <f>B42*B43</f>
        <v>2082.6</v>
      </c>
      <c r="C44" s="49">
        <f>C42*C43</f>
        <v>1663.1999999999998</v>
      </c>
      <c r="D44" s="49">
        <f>D42*D43</f>
        <v>1896.6000000000001</v>
      </c>
      <c r="F44" s="49">
        <f>F42*F43</f>
        <v>1672</v>
      </c>
      <c r="G44" s="49">
        <f>G42*G43</f>
        <v>1780</v>
      </c>
      <c r="H44" s="49">
        <f>H42*H43</f>
        <v>1890</v>
      </c>
      <c r="K44" s="20" t="s">
        <v>441</v>
      </c>
    </row>
    <row r="45" spans="1:11" ht="24" x14ac:dyDescent="0.25">
      <c r="A45" s="7" t="s">
        <v>442</v>
      </c>
      <c r="B45" s="42">
        <v>3378</v>
      </c>
      <c r="C45" s="42">
        <v>1941</v>
      </c>
      <c r="D45" s="42">
        <v>1663</v>
      </c>
      <c r="F45" s="17">
        <f>Assumptions!I179</f>
        <v>1800</v>
      </c>
      <c r="G45" s="17">
        <f>Assumptions!I180</f>
        <v>2000</v>
      </c>
      <c r="H45" s="17">
        <f>Assumptions!I181</f>
        <v>2200</v>
      </c>
      <c r="K45" s="20" t="s">
        <v>443</v>
      </c>
    </row>
    <row r="46" spans="1:11" x14ac:dyDescent="0.25">
      <c r="A46" s="7" t="s">
        <v>444</v>
      </c>
      <c r="B46" s="49">
        <f>B44+B45</f>
        <v>5460.6</v>
      </c>
      <c r="C46" s="49">
        <f>C44+C45</f>
        <v>3604.2</v>
      </c>
      <c r="D46" s="49">
        <f>D44+D45</f>
        <v>3559.6000000000004</v>
      </c>
      <c r="F46" s="49">
        <f>F44+F45</f>
        <v>3472</v>
      </c>
      <c r="G46" s="49">
        <f>G44+G45</f>
        <v>3780</v>
      </c>
      <c r="H46" s="49">
        <f>H44+H45</f>
        <v>4090</v>
      </c>
      <c r="K46" s="20" t="s">
        <v>445</v>
      </c>
    </row>
    <row r="47" spans="1:11" ht="24" x14ac:dyDescent="0.25">
      <c r="A47" s="7" t="s">
        <v>446</v>
      </c>
      <c r="B47" s="17">
        <f>Segment_Revenue!B14</f>
        <v>5463</v>
      </c>
      <c r="C47" s="17">
        <f>Segment_Revenue!C14</f>
        <v>3601</v>
      </c>
      <c r="D47" s="17">
        <f>Segment_Revenue!D14</f>
        <v>3563</v>
      </c>
      <c r="F47" s="17">
        <f>F46</f>
        <v>3472</v>
      </c>
      <c r="G47" s="17">
        <f>G46</f>
        <v>3780</v>
      </c>
      <c r="H47" s="17">
        <f>H46</f>
        <v>4090</v>
      </c>
      <c r="K47" s="20" t="s">
        <v>394</v>
      </c>
    </row>
    <row r="48" spans="1:11" ht="24" x14ac:dyDescent="0.35">
      <c r="A48" s="9" t="s">
        <v>395</v>
      </c>
      <c r="B48" s="49">
        <f>B46-B47</f>
        <v>-2.3999999999996362</v>
      </c>
      <c r="C48" s="49">
        <f>C46-C47</f>
        <v>3.1999999999998181</v>
      </c>
      <c r="D48" s="49">
        <f>D46-D47</f>
        <v>-3.3999999999996362</v>
      </c>
      <c r="E48" s="10"/>
      <c r="F48" s="49">
        <f>F46-F47</f>
        <v>0</v>
      </c>
      <c r="G48" s="49">
        <f>G46-G47</f>
        <v>0</v>
      </c>
      <c r="H48" s="49">
        <f>H46-H47</f>
        <v>0</v>
      </c>
      <c r="I48" s="10"/>
      <c r="J48" s="10"/>
      <c r="K48" s="20" t="s">
        <v>447</v>
      </c>
    </row>
    <row r="49" spans="1:11" x14ac:dyDescent="0.25">
      <c r="A49" s="7" t="s">
        <v>397</v>
      </c>
      <c r="B49" s="14">
        <f>B48/B47</f>
        <v>-4.3931905546396418E-4</v>
      </c>
      <c r="C49" s="14">
        <f>C48/C47</f>
        <v>8.8864204387665039E-4</v>
      </c>
      <c r="D49" s="14">
        <f>D48/D47</f>
        <v>-9.5425203480203088E-4</v>
      </c>
      <c r="F49" s="14">
        <f>F48/F47</f>
        <v>0</v>
      </c>
      <c r="G49" s="14">
        <f>G48/G47</f>
        <v>0</v>
      </c>
      <c r="H49" s="14">
        <f>H48/H47</f>
        <v>0</v>
      </c>
      <c r="K49" s="20" t="s">
        <v>398</v>
      </c>
    </row>
    <row r="51" spans="1:11" ht="15" x14ac:dyDescent="0.35">
      <c r="A51" s="9" t="s">
        <v>448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1" ht="26" x14ac:dyDescent="0.25">
      <c r="A52" s="7" t="s">
        <v>449</v>
      </c>
      <c r="K52" s="20" t="s">
        <v>450</v>
      </c>
    </row>
    <row r="53" spans="1:11" x14ac:dyDescent="0.25">
      <c r="A53" s="7" t="s">
        <v>451</v>
      </c>
      <c r="F53" s="50" t="s">
        <v>452</v>
      </c>
      <c r="G53" s="50" t="s">
        <v>453</v>
      </c>
      <c r="H53" s="50" t="s">
        <v>454</v>
      </c>
      <c r="I53" s="50" t="s">
        <v>455</v>
      </c>
    </row>
    <row r="54" spans="1:11" x14ac:dyDescent="0.25">
      <c r="A54" s="18" t="s">
        <v>456</v>
      </c>
    </row>
    <row r="55" spans="1:11" x14ac:dyDescent="0.25">
      <c r="A55" s="7" t="s">
        <v>457</v>
      </c>
      <c r="F55" s="45">
        <f>F7</f>
        <v>260</v>
      </c>
      <c r="G55" s="51" t="s">
        <v>458</v>
      </c>
      <c r="H55" s="49">
        <f>F11*0.01</f>
        <v>327.59999999999997</v>
      </c>
      <c r="I55" s="14">
        <f>H55/F11</f>
        <v>0.01</v>
      </c>
      <c r="K55" s="20" t="s">
        <v>459</v>
      </c>
    </row>
    <row r="56" spans="1:11" x14ac:dyDescent="0.25">
      <c r="A56" s="7" t="s">
        <v>460</v>
      </c>
      <c r="F56" s="46">
        <f>F8</f>
        <v>0.72</v>
      </c>
      <c r="G56" s="51" t="s">
        <v>461</v>
      </c>
      <c r="H56" s="49">
        <f>F7*0.01*F10</f>
        <v>455</v>
      </c>
      <c r="I56" s="14">
        <f>H56/F11</f>
        <v>1.388888888888889E-2</v>
      </c>
      <c r="K56" s="20" t="s">
        <v>462</v>
      </c>
    </row>
    <row r="57" spans="1:11" x14ac:dyDescent="0.25">
      <c r="A57" s="7" t="s">
        <v>463</v>
      </c>
      <c r="F57" s="52">
        <f>F10</f>
        <v>175</v>
      </c>
      <c r="G57" s="51" t="s">
        <v>464</v>
      </c>
      <c r="H57" s="49">
        <f>F9</f>
        <v>187.2</v>
      </c>
      <c r="I57" s="14">
        <f>H57/F11</f>
        <v>5.7142857142857143E-3</v>
      </c>
      <c r="K57" s="20" t="s">
        <v>465</v>
      </c>
    </row>
    <row r="59" spans="1:11" x14ac:dyDescent="0.25">
      <c r="A59" s="18" t="s">
        <v>466</v>
      </c>
    </row>
    <row r="60" spans="1:11" x14ac:dyDescent="0.25">
      <c r="A60" s="7" t="s">
        <v>467</v>
      </c>
      <c r="F60" s="45">
        <f>F18</f>
        <v>13.5</v>
      </c>
      <c r="G60" s="51" t="s">
        <v>458</v>
      </c>
      <c r="H60" s="49">
        <f>F22*0.01</f>
        <v>151.19999999999999</v>
      </c>
      <c r="I60" s="14">
        <f>H60/F24</f>
        <v>8.4374999999999988E-3</v>
      </c>
      <c r="K60" s="20" t="s">
        <v>468</v>
      </c>
    </row>
    <row r="61" spans="1:11" x14ac:dyDescent="0.25">
      <c r="A61" s="7" t="s">
        <v>469</v>
      </c>
      <c r="F61" s="46">
        <f>F19</f>
        <v>0.7</v>
      </c>
      <c r="G61" s="51" t="s">
        <v>461</v>
      </c>
      <c r="H61" s="49">
        <f>F18*0.01*F21</f>
        <v>216</v>
      </c>
      <c r="I61" s="14">
        <f>H61/F24</f>
        <v>1.2053571428571429E-2</v>
      </c>
      <c r="K61" s="20" t="s">
        <v>470</v>
      </c>
    </row>
    <row r="62" spans="1:11" x14ac:dyDescent="0.25">
      <c r="A62" s="7" t="s">
        <v>471</v>
      </c>
      <c r="F62" s="17">
        <f>F21</f>
        <v>1600</v>
      </c>
      <c r="G62" s="51" t="s">
        <v>464</v>
      </c>
      <c r="H62" s="49">
        <f>F20</f>
        <v>9.4499999999999993</v>
      </c>
      <c r="I62" s="14">
        <f>H62/F24</f>
        <v>5.2734374999999993E-4</v>
      </c>
      <c r="K62" s="20" t="s">
        <v>472</v>
      </c>
    </row>
    <row r="63" spans="1:11" x14ac:dyDescent="0.25">
      <c r="A63" s="7" t="s">
        <v>473</v>
      </c>
      <c r="F63" s="17">
        <f>F23</f>
        <v>2800</v>
      </c>
      <c r="G63" s="51" t="s">
        <v>474</v>
      </c>
      <c r="H63" s="49" t="s">
        <v>475</v>
      </c>
      <c r="I63" s="14">
        <f>H63/F24</f>
        <v>5.580357142857143E-3</v>
      </c>
      <c r="K63" s="20" t="s">
        <v>476</v>
      </c>
    </row>
    <row r="65" spans="1:11" x14ac:dyDescent="0.25">
      <c r="A65" s="18" t="s">
        <v>477</v>
      </c>
    </row>
    <row r="66" spans="1:11" x14ac:dyDescent="0.25">
      <c r="A66" s="7" t="s">
        <v>478</v>
      </c>
      <c r="F66" s="45">
        <f>F31</f>
        <v>196.64999999999998</v>
      </c>
      <c r="G66" s="51" t="s">
        <v>458</v>
      </c>
      <c r="H66" s="49">
        <f>F33*0.01</f>
        <v>176.98499999999996</v>
      </c>
      <c r="I66" s="14">
        <f>H66/F35</f>
        <v>9.6195342011577024E-3</v>
      </c>
      <c r="K66" s="20" t="s">
        <v>479</v>
      </c>
    </row>
    <row r="67" spans="1:11" x14ac:dyDescent="0.25">
      <c r="A67" s="7" t="s">
        <v>480</v>
      </c>
      <c r="F67" s="48">
        <f>F32</f>
        <v>90</v>
      </c>
      <c r="G67" s="51" t="s">
        <v>464</v>
      </c>
      <c r="H67" s="49">
        <f>F31</f>
        <v>196.64999999999998</v>
      </c>
      <c r="I67" s="14">
        <f>H67/F35</f>
        <v>1.0688371334619671E-2</v>
      </c>
      <c r="K67" s="20" t="s">
        <v>481</v>
      </c>
    </row>
    <row r="68" spans="1:11" x14ac:dyDescent="0.25">
      <c r="A68" s="7" t="s">
        <v>482</v>
      </c>
      <c r="F68" s="17">
        <f>F34</f>
        <v>700</v>
      </c>
      <c r="G68" s="51" t="s">
        <v>474</v>
      </c>
      <c r="H68" s="49" t="s">
        <v>475</v>
      </c>
      <c r="I68" s="14">
        <f>H68/F35</f>
        <v>5.4352256977470998E-3</v>
      </c>
      <c r="K68" s="20" t="s">
        <v>483</v>
      </c>
    </row>
    <row r="70" spans="1:11" x14ac:dyDescent="0.25">
      <c r="A70" s="18" t="s">
        <v>484</v>
      </c>
    </row>
    <row r="71" spans="1:11" x14ac:dyDescent="0.25">
      <c r="A71" s="7" t="s">
        <v>485</v>
      </c>
      <c r="F71" s="45">
        <f>F42</f>
        <v>88</v>
      </c>
      <c r="G71" s="51" t="s">
        <v>458</v>
      </c>
      <c r="H71" s="49">
        <f>F44*0.01</f>
        <v>16.72</v>
      </c>
      <c r="I71" s="14">
        <f>H71/F46</f>
        <v>4.8156682027649771E-3</v>
      </c>
      <c r="K71" s="20" t="s">
        <v>486</v>
      </c>
    </row>
    <row r="72" spans="1:11" x14ac:dyDescent="0.25">
      <c r="A72" s="7" t="s">
        <v>487</v>
      </c>
      <c r="F72" s="48">
        <f>F43</f>
        <v>19</v>
      </c>
      <c r="G72" s="51" t="s">
        <v>464</v>
      </c>
      <c r="H72" s="49">
        <f>F42</f>
        <v>88</v>
      </c>
      <c r="I72" s="14">
        <f>H72/F46</f>
        <v>2.5345622119815669E-2</v>
      </c>
      <c r="K72" s="20" t="s">
        <v>488</v>
      </c>
    </row>
    <row r="73" spans="1:11" x14ac:dyDescent="0.25">
      <c r="A73" s="7" t="s">
        <v>489</v>
      </c>
      <c r="F73" s="17">
        <f>F45</f>
        <v>1800</v>
      </c>
      <c r="G73" s="51" t="s">
        <v>474</v>
      </c>
      <c r="H73" s="49" t="s">
        <v>475</v>
      </c>
      <c r="I73" s="14">
        <f>H73/F46</f>
        <v>2.880184331797235E-2</v>
      </c>
      <c r="K73" s="20" t="s">
        <v>490</v>
      </c>
    </row>
    <row r="75" spans="1:11" ht="15" x14ac:dyDescent="0.35">
      <c r="A75" s="9" t="s">
        <v>491</v>
      </c>
      <c r="B75" s="10"/>
      <c r="C75" s="10"/>
      <c r="D75" s="10"/>
      <c r="E75" s="10"/>
      <c r="F75" s="10"/>
      <c r="G75" s="10"/>
      <c r="H75" s="10"/>
      <c r="I75" s="10"/>
      <c r="J75" s="10"/>
    </row>
    <row r="76" spans="1:11" ht="26" x14ac:dyDescent="0.25">
      <c r="A76" s="7" t="s">
        <v>492</v>
      </c>
      <c r="K76" s="20" t="s">
        <v>493</v>
      </c>
    </row>
    <row r="77" spans="1:11" ht="26" x14ac:dyDescent="0.25">
      <c r="A77" s="7" t="s">
        <v>494</v>
      </c>
      <c r="K77" s="20" t="s">
        <v>495</v>
      </c>
    </row>
    <row r="78" spans="1:11" ht="26" x14ac:dyDescent="0.25">
      <c r="A78" s="7" t="s">
        <v>496</v>
      </c>
      <c r="K78" s="20" t="s">
        <v>497</v>
      </c>
    </row>
    <row r="80" spans="1:11" x14ac:dyDescent="0.25">
      <c r="A80" s="7" t="s">
        <v>101</v>
      </c>
    </row>
    <row r="81" spans="1:6" ht="14.5" x14ac:dyDescent="0.3">
      <c r="A81" s="80" t="s">
        <v>102</v>
      </c>
      <c r="B81" s="69"/>
      <c r="C81" s="69"/>
      <c r="D81" s="69"/>
      <c r="E81" s="69"/>
      <c r="F81" s="69"/>
    </row>
    <row r="82" spans="1:6" ht="14.5" x14ac:dyDescent="0.3">
      <c r="A82" s="76" t="s">
        <v>103</v>
      </c>
      <c r="B82" s="69"/>
      <c r="C82" s="69"/>
      <c r="D82" s="69"/>
      <c r="E82" s="69"/>
      <c r="F82" s="69"/>
    </row>
    <row r="83" spans="1:6" ht="14.5" x14ac:dyDescent="0.3">
      <c r="A83" s="78" t="s">
        <v>104</v>
      </c>
      <c r="B83" s="69"/>
      <c r="C83" s="69"/>
      <c r="D83" s="69"/>
      <c r="E83" s="69"/>
      <c r="F83" s="69"/>
    </row>
    <row r="84" spans="1:6" ht="14.5" x14ac:dyDescent="0.3">
      <c r="A84" s="79" t="s">
        <v>105</v>
      </c>
      <c r="B84" s="69"/>
      <c r="C84" s="69"/>
      <c r="D84" s="69"/>
      <c r="E84" s="69"/>
      <c r="F84" s="69"/>
    </row>
    <row r="85" spans="1:6" ht="14.5" x14ac:dyDescent="0.3">
      <c r="A85" s="79" t="s">
        <v>106</v>
      </c>
      <c r="B85" s="69"/>
      <c r="C85" s="69"/>
      <c r="D85" s="69"/>
      <c r="E85" s="69"/>
      <c r="F85" s="69"/>
    </row>
    <row r="86" spans="1:6" x14ac:dyDescent="0.25">
      <c r="A86" s="69" t="s">
        <v>107</v>
      </c>
      <c r="B86" s="69"/>
      <c r="C86" s="69"/>
      <c r="D86" s="69"/>
      <c r="E86" s="69"/>
      <c r="F86" s="69"/>
    </row>
    <row r="88" spans="1:6" x14ac:dyDescent="0.25">
      <c r="A88" s="7" t="s">
        <v>108</v>
      </c>
    </row>
    <row r="89" spans="1:6" ht="14.5" x14ac:dyDescent="0.3">
      <c r="A89" s="74" t="s">
        <v>109</v>
      </c>
      <c r="B89" s="69"/>
      <c r="C89" s="69"/>
      <c r="D89" s="69"/>
      <c r="E89" s="69"/>
      <c r="F89" s="69"/>
    </row>
    <row r="90" spans="1:6" ht="14.5" x14ac:dyDescent="0.3">
      <c r="A90" s="74" t="s">
        <v>110</v>
      </c>
      <c r="B90" s="69"/>
      <c r="C90" s="69"/>
      <c r="D90" s="69"/>
      <c r="E90" s="69"/>
      <c r="F90" s="69"/>
    </row>
    <row r="91" spans="1:6" ht="14.5" x14ac:dyDescent="0.3">
      <c r="A91" s="74" t="s">
        <v>111</v>
      </c>
      <c r="B91" s="69"/>
      <c r="C91" s="69"/>
      <c r="D91" s="69"/>
      <c r="E91" s="69"/>
      <c r="F91" s="69"/>
    </row>
    <row r="92" spans="1:6" ht="14.5" x14ac:dyDescent="0.3">
      <c r="A92" s="74" t="s">
        <v>112</v>
      </c>
      <c r="B92" s="69"/>
      <c r="C92" s="69"/>
      <c r="D92" s="69"/>
      <c r="E92" s="69"/>
      <c r="F92" s="69"/>
    </row>
    <row r="93" spans="1:6" ht="14.5" x14ac:dyDescent="0.3">
      <c r="A93" s="74" t="s">
        <v>113</v>
      </c>
      <c r="B93" s="69"/>
      <c r="C93" s="69"/>
      <c r="D93" s="69"/>
      <c r="E93" s="69"/>
      <c r="F93" s="69"/>
    </row>
  </sheetData>
  <mergeCells count="13">
    <mergeCell ref="A93:F93"/>
    <mergeCell ref="A89:F89"/>
    <mergeCell ref="A83:F83"/>
    <mergeCell ref="A2:J2"/>
    <mergeCell ref="A92:F92"/>
    <mergeCell ref="A91:F91"/>
    <mergeCell ref="A86:F86"/>
    <mergeCell ref="A81:F81"/>
    <mergeCell ref="A1:J1"/>
    <mergeCell ref="A82:F82"/>
    <mergeCell ref="A85:F85"/>
    <mergeCell ref="A84:F84"/>
    <mergeCell ref="A90:F90"/>
  </mergeCells>
  <phoneticPr fontId="2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42"/>
  <sheetViews>
    <sheetView workbookViewId="0">
      <selection sqref="A1:J1"/>
    </sheetView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498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43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x14ac:dyDescent="0.25">
      <c r="A3" s="11"/>
      <c r="B3" s="12" t="s">
        <v>46</v>
      </c>
      <c r="C3" s="12" t="s">
        <v>47</v>
      </c>
      <c r="D3" s="12" t="s">
        <v>48</v>
      </c>
      <c r="E3" s="11"/>
      <c r="F3" s="12" t="s">
        <v>49</v>
      </c>
      <c r="G3" s="12" t="s">
        <v>50</v>
      </c>
      <c r="H3" s="12" t="s">
        <v>51</v>
      </c>
      <c r="I3" s="11"/>
      <c r="J3" s="11"/>
      <c r="K3" s="12" t="s">
        <v>52</v>
      </c>
    </row>
    <row r="4" spans="1:11" x14ac:dyDescent="0.25">
      <c r="A4" s="7" t="s">
        <v>499</v>
      </c>
      <c r="K4" s="20" t="s">
        <v>500</v>
      </c>
    </row>
    <row r="5" spans="1:11" x14ac:dyDescent="0.25">
      <c r="A5" s="18" t="s">
        <v>501</v>
      </c>
      <c r="B5" s="42">
        <v>32305</v>
      </c>
      <c r="C5" s="42">
        <v>33346</v>
      </c>
      <c r="D5" s="42">
        <v>32228</v>
      </c>
      <c r="F5" s="53">
        <f>Growth_Drivers!F11</f>
        <v>32759.999999999996</v>
      </c>
      <c r="G5" s="53">
        <f>Growth_Drivers!G11</f>
        <v>34966.75</v>
      </c>
      <c r="H5" s="53">
        <f>Growth_Drivers!H11</f>
        <v>36266.400000000001</v>
      </c>
      <c r="K5" s="20" t="s">
        <v>502</v>
      </c>
    </row>
    <row r="6" spans="1:11" x14ac:dyDescent="0.25">
      <c r="C6" s="14">
        <f>(C5-B5)/B5</f>
        <v>3.2224113914254761E-2</v>
      </c>
      <c r="D6" s="14">
        <f>(D5-C5)/C5</f>
        <v>-3.3527259641336293E-2</v>
      </c>
      <c r="F6" s="14">
        <f>F5/B5-1</f>
        <v>1.4084507042253502E-2</v>
      </c>
      <c r="G6" s="14">
        <f>G5/F5-1</f>
        <v>6.7361111111111205E-2</v>
      </c>
      <c r="H6" s="14">
        <f>H5/G5-1</f>
        <v>3.7168166901413446E-2</v>
      </c>
      <c r="K6" s="20" t="s">
        <v>503</v>
      </c>
    </row>
    <row r="8" spans="1:11" x14ac:dyDescent="0.25">
      <c r="A8" s="18" t="s">
        <v>504</v>
      </c>
      <c r="B8" s="42">
        <v>15980</v>
      </c>
      <c r="C8" s="42">
        <v>16125</v>
      </c>
      <c r="D8" s="42">
        <v>16919</v>
      </c>
      <c r="F8" s="53">
        <f>Growth_Drivers!F24</f>
        <v>17920</v>
      </c>
      <c r="G8" s="53">
        <f>Growth_Drivers!G24</f>
        <v>21754.999999999996</v>
      </c>
      <c r="H8" s="53">
        <f>Growth_Drivers!H24</f>
        <v>24987.5</v>
      </c>
      <c r="K8" s="20" t="s">
        <v>502</v>
      </c>
    </row>
    <row r="9" spans="1:11" x14ac:dyDescent="0.25">
      <c r="C9" s="14">
        <f>(C8-B8)/B8</f>
        <v>9.0738423028785976E-3</v>
      </c>
      <c r="D9" s="14">
        <f>(D8-C8)/C8</f>
        <v>4.9240310077519382E-2</v>
      </c>
      <c r="F9" s="14">
        <f>F8/B8-1</f>
        <v>0.12140175219023774</v>
      </c>
      <c r="G9" s="14">
        <f>G8/F8-1</f>
        <v>0.21400669642857117</v>
      </c>
      <c r="H9" s="14">
        <f>H8/G8-1</f>
        <v>0.14858653183176296</v>
      </c>
      <c r="K9" s="20" t="s">
        <v>503</v>
      </c>
    </row>
    <row r="11" spans="1:11" x14ac:dyDescent="0.25">
      <c r="A11" s="18" t="s">
        <v>505</v>
      </c>
      <c r="B11" s="42">
        <v>18504</v>
      </c>
      <c r="C11" s="42">
        <v>17317</v>
      </c>
      <c r="D11" s="42">
        <v>17826</v>
      </c>
      <c r="F11" s="53">
        <f>Growth_Drivers!F35</f>
        <v>18398.499999999996</v>
      </c>
      <c r="G11" s="53">
        <f>Growth_Drivers!G35</f>
        <v>20109.3</v>
      </c>
      <c r="H11" s="53">
        <f>Growth_Drivers!H35</f>
        <v>22255.25</v>
      </c>
      <c r="K11" s="20" t="s">
        <v>502</v>
      </c>
    </row>
    <row r="12" spans="1:11" x14ac:dyDescent="0.25">
      <c r="C12" s="14">
        <f>(C11-B11)/B11</f>
        <v>-6.4148292261132722E-2</v>
      </c>
      <c r="D12" s="14">
        <f>(D11-C11)/C11</f>
        <v>2.9393081942599757E-2</v>
      </c>
      <c r="F12" s="14">
        <f>F11/B11-1</f>
        <v>-5.7014699524429169E-3</v>
      </c>
      <c r="G12" s="14">
        <f>G11/F11-1</f>
        <v>9.2985841237057443E-2</v>
      </c>
      <c r="H12" s="14">
        <f>H11/G11-1</f>
        <v>0.10671430631598322</v>
      </c>
      <c r="K12" s="20" t="s">
        <v>503</v>
      </c>
    </row>
    <row r="14" spans="1:11" x14ac:dyDescent="0.25">
      <c r="A14" s="18" t="s">
        <v>506</v>
      </c>
      <c r="B14" s="42">
        <v>5463</v>
      </c>
      <c r="C14" s="42">
        <v>3601</v>
      </c>
      <c r="D14" s="42">
        <v>3563</v>
      </c>
      <c r="F14" s="53">
        <f>Growth_Drivers!F46</f>
        <v>3472</v>
      </c>
      <c r="G14" s="53">
        <f>Growth_Drivers!G46</f>
        <v>3780</v>
      </c>
      <c r="H14" s="53">
        <f>Growth_Drivers!H46</f>
        <v>4090</v>
      </c>
      <c r="K14" s="20" t="s">
        <v>502</v>
      </c>
    </row>
    <row r="15" spans="1:11" x14ac:dyDescent="0.25">
      <c r="C15" s="14">
        <f>(C14-B14)/B14</f>
        <v>-0.34083836719751054</v>
      </c>
      <c r="D15" s="14">
        <f>(D14-C14)/C14</f>
        <v>-1.0552624271035824E-2</v>
      </c>
      <c r="F15" s="14">
        <f>F14/B14-1</f>
        <v>-0.36445176642870214</v>
      </c>
      <c r="G15" s="14">
        <f>G14/F14-1</f>
        <v>8.870967741935476E-2</v>
      </c>
      <c r="H15" s="14">
        <f>H14/G14-1</f>
        <v>8.2010582010582089E-2</v>
      </c>
      <c r="K15" s="20" t="s">
        <v>503</v>
      </c>
    </row>
    <row r="17" spans="1:11" ht="24" x14ac:dyDescent="0.35">
      <c r="A17" s="9" t="s">
        <v>507</v>
      </c>
      <c r="B17" s="49">
        <f>B5+B8+B11+B14</f>
        <v>72252</v>
      </c>
      <c r="C17" s="49">
        <f>C5+C8+C11+C14</f>
        <v>70389</v>
      </c>
      <c r="D17" s="49">
        <f>D5+D8+D11+D14</f>
        <v>70536</v>
      </c>
      <c r="E17" s="10"/>
      <c r="F17" s="49">
        <f>F5+F8+F11+F14</f>
        <v>72550.5</v>
      </c>
      <c r="G17" s="49">
        <f>G5+G8+G11+G14</f>
        <v>80611.05</v>
      </c>
      <c r="H17" s="49">
        <f>H5+H8+H11+H14</f>
        <v>87599.15</v>
      </c>
      <c r="I17" s="10"/>
      <c r="J17" s="10"/>
      <c r="K17" s="20" t="s">
        <v>508</v>
      </c>
    </row>
    <row r="19" spans="1:11" ht="24" x14ac:dyDescent="0.25">
      <c r="A19" s="7" t="s">
        <v>509</v>
      </c>
      <c r="B19" s="42">
        <v>50</v>
      </c>
      <c r="C19" s="42">
        <v>60</v>
      </c>
      <c r="D19" s="42">
        <v>150</v>
      </c>
      <c r="F19" s="17">
        <f>Assumptions!I184</f>
        <v>700</v>
      </c>
      <c r="G19" s="17">
        <f>Assumptions!I185</f>
        <v>1500</v>
      </c>
      <c r="H19" s="17">
        <f>Assumptions!I186</f>
        <v>2500</v>
      </c>
      <c r="K19" s="20" t="s">
        <v>510</v>
      </c>
    </row>
    <row r="20" spans="1:11" x14ac:dyDescent="0.25">
      <c r="A20" s="7" t="s">
        <v>511</v>
      </c>
      <c r="B20" s="42">
        <v>-205</v>
      </c>
      <c r="C20" s="42">
        <v>-161</v>
      </c>
      <c r="D20" s="42">
        <v>619</v>
      </c>
      <c r="F20" s="17">
        <f>Assumptions!I188</f>
        <v>-200</v>
      </c>
      <c r="G20" s="17">
        <f>Assumptions!I188</f>
        <v>-200</v>
      </c>
      <c r="H20" s="17">
        <f>Assumptions!I188</f>
        <v>-200</v>
      </c>
      <c r="K20" s="20" t="s">
        <v>512</v>
      </c>
    </row>
    <row r="21" spans="1:11" ht="24" x14ac:dyDescent="0.35">
      <c r="A21" s="9" t="s">
        <v>513</v>
      </c>
      <c r="B21" s="42">
        <v>54228</v>
      </c>
      <c r="C21" s="42">
        <v>53101</v>
      </c>
      <c r="D21" s="42">
        <v>52853</v>
      </c>
      <c r="E21" s="10"/>
      <c r="F21" s="13">
        <f>F5+F8+F14+F19+F20</f>
        <v>54652</v>
      </c>
      <c r="G21" s="13">
        <f>G5+G8+G14+G19+G20</f>
        <v>61801.75</v>
      </c>
      <c r="H21" s="13">
        <f>H5+H8+H14+H19+H20</f>
        <v>67643.899999999994</v>
      </c>
      <c r="I21" s="10"/>
      <c r="J21" s="10"/>
      <c r="K21" s="20" t="s">
        <v>514</v>
      </c>
    </row>
    <row r="23" spans="1:11" x14ac:dyDescent="0.25">
      <c r="A23" s="7" t="s">
        <v>515</v>
      </c>
      <c r="B23" s="14">
        <f>B5/B21</f>
        <v>0.59572545548425171</v>
      </c>
      <c r="C23" s="14">
        <f>C5/C21</f>
        <v>0.6279731078510763</v>
      </c>
      <c r="D23" s="14">
        <f>D5/D21</f>
        <v>0.60976671144495109</v>
      </c>
      <c r="E23" s="10"/>
      <c r="F23" s="14">
        <f>F5/F21</f>
        <v>0.59942911512844899</v>
      </c>
      <c r="G23" s="14">
        <f>G5/G21</f>
        <v>0.56578899464820975</v>
      </c>
      <c r="H23" s="14">
        <f>H5/H21</f>
        <v>0.53613703526851653</v>
      </c>
      <c r="I23" s="10"/>
      <c r="J23" s="10"/>
    </row>
    <row r="24" spans="1:11" x14ac:dyDescent="0.25">
      <c r="A24" s="7" t="s">
        <v>516</v>
      </c>
      <c r="B24" s="14">
        <f>B8/B21</f>
        <v>0.29468171424356421</v>
      </c>
      <c r="C24" s="14">
        <f>C8/C21</f>
        <v>0.30366659761586412</v>
      </c>
      <c r="D24" s="14">
        <f>D8/D21</f>
        <v>0.3201142792272908</v>
      </c>
      <c r="F24" s="14">
        <f>F8/F21</f>
        <v>0.32789284930103196</v>
      </c>
      <c r="G24" s="14">
        <f>G8/G21</f>
        <v>0.35201268572491873</v>
      </c>
      <c r="H24" s="14">
        <f>H8/H21</f>
        <v>0.36939768404837692</v>
      </c>
    </row>
    <row r="25" spans="1:11" x14ac:dyDescent="0.25">
      <c r="A25" s="7" t="s">
        <v>517</v>
      </c>
      <c r="B25" s="14">
        <f>B14/B21</f>
        <v>0.10074131445009958</v>
      </c>
      <c r="C25" s="14">
        <f>C14/C21</f>
        <v>6.781416545827762E-2</v>
      </c>
      <c r="D25" s="14">
        <f>D14/D21</f>
        <v>6.7413391860443123E-2</v>
      </c>
      <c r="F25" s="14">
        <f>F14/F21</f>
        <v>6.3529239552074943E-2</v>
      </c>
      <c r="G25" s="14">
        <f>G14/G21</f>
        <v>6.1163316572750773E-2</v>
      </c>
      <c r="H25" s="14">
        <f>H14/H21</f>
        <v>6.046369295679286E-2</v>
      </c>
    </row>
    <row r="26" spans="1:11" x14ac:dyDescent="0.25">
      <c r="A26" s="7" t="s">
        <v>518</v>
      </c>
      <c r="B26" s="14">
        <f>B19/B21</f>
        <v>9.2203289813380543E-4</v>
      </c>
      <c r="C26" s="14">
        <f>C19/C21</f>
        <v>1.1299222236869362E-3</v>
      </c>
      <c r="D26" s="14">
        <f>D19/D21</f>
        <v>2.8380602804003556E-3</v>
      </c>
      <c r="F26" s="14">
        <f>F19/F21</f>
        <v>1.2808314425821562E-2</v>
      </c>
      <c r="G26" s="14">
        <f>G19/G21</f>
        <v>2.4271157370139195E-2</v>
      </c>
      <c r="H26" s="14">
        <f>H19/H21</f>
        <v>3.6958247528601988E-2</v>
      </c>
      <c r="K26" s="20" t="s">
        <v>519</v>
      </c>
    </row>
    <row r="27" spans="1:11" x14ac:dyDescent="0.25">
      <c r="A27" s="7" t="s">
        <v>520</v>
      </c>
      <c r="B27" s="14">
        <f>B11/B17</f>
        <v>0.25610363726955654</v>
      </c>
      <c r="C27" s="14">
        <f>C11/C17</f>
        <v>0.24601855403543169</v>
      </c>
      <c r="D27" s="14">
        <f>D11/D17</f>
        <v>0.252722014290575</v>
      </c>
      <c r="F27" s="14">
        <f>F11/F17</f>
        <v>0.25359577122142501</v>
      </c>
      <c r="G27" s="14">
        <f>G11/G17</f>
        <v>0.24946083694481089</v>
      </c>
      <c r="H27" s="14">
        <f>H11/H17</f>
        <v>0.25405783046981623</v>
      </c>
      <c r="K27" s="20" t="s">
        <v>521</v>
      </c>
    </row>
    <row r="29" spans="1:11" x14ac:dyDescent="0.25">
      <c r="A29" s="7" t="s">
        <v>101</v>
      </c>
    </row>
    <row r="30" spans="1:11" ht="14.5" x14ac:dyDescent="0.3">
      <c r="A30" s="80" t="s">
        <v>102</v>
      </c>
      <c r="B30" s="69"/>
      <c r="C30" s="69"/>
      <c r="D30" s="69"/>
      <c r="E30" s="69"/>
      <c r="F30" s="69"/>
    </row>
    <row r="31" spans="1:11" ht="14.5" x14ac:dyDescent="0.3">
      <c r="A31" s="76" t="s">
        <v>103</v>
      </c>
      <c r="B31" s="69"/>
      <c r="C31" s="69"/>
      <c r="D31" s="69"/>
      <c r="E31" s="69"/>
      <c r="F31" s="69"/>
    </row>
    <row r="32" spans="1:11" ht="14.5" x14ac:dyDescent="0.3">
      <c r="A32" s="78" t="s">
        <v>104</v>
      </c>
      <c r="B32" s="69"/>
      <c r="C32" s="69"/>
      <c r="D32" s="69"/>
      <c r="E32" s="69"/>
      <c r="F32" s="69"/>
    </row>
    <row r="33" spans="1:6" ht="14.5" x14ac:dyDescent="0.3">
      <c r="A33" s="79" t="s">
        <v>105</v>
      </c>
      <c r="B33" s="69"/>
      <c r="C33" s="69"/>
      <c r="D33" s="69"/>
      <c r="E33" s="69"/>
      <c r="F33" s="69"/>
    </row>
    <row r="34" spans="1:6" ht="14.5" x14ac:dyDescent="0.3">
      <c r="A34" s="79" t="s">
        <v>106</v>
      </c>
      <c r="B34" s="69"/>
      <c r="C34" s="69"/>
      <c r="D34" s="69"/>
      <c r="E34" s="69"/>
      <c r="F34" s="69"/>
    </row>
    <row r="35" spans="1:6" x14ac:dyDescent="0.25">
      <c r="A35" s="69" t="s">
        <v>107</v>
      </c>
      <c r="B35" s="69"/>
      <c r="C35" s="69"/>
      <c r="D35" s="69"/>
      <c r="E35" s="69"/>
      <c r="F35" s="69"/>
    </row>
    <row r="37" spans="1:6" x14ac:dyDescent="0.25">
      <c r="A37" s="7" t="s">
        <v>108</v>
      </c>
    </row>
    <row r="38" spans="1:6" ht="14.5" x14ac:dyDescent="0.3">
      <c r="A38" s="74" t="s">
        <v>109</v>
      </c>
      <c r="B38" s="69"/>
      <c r="C38" s="69"/>
      <c r="D38" s="69"/>
      <c r="E38" s="69"/>
      <c r="F38" s="69"/>
    </row>
    <row r="39" spans="1:6" ht="14.5" x14ac:dyDescent="0.3">
      <c r="A39" s="74" t="s">
        <v>110</v>
      </c>
      <c r="B39" s="69"/>
      <c r="C39" s="69"/>
      <c r="D39" s="69"/>
      <c r="E39" s="69"/>
      <c r="F39" s="69"/>
    </row>
    <row r="40" spans="1:6" ht="14.5" x14ac:dyDescent="0.3">
      <c r="A40" s="74" t="s">
        <v>111</v>
      </c>
      <c r="B40" s="69"/>
      <c r="C40" s="69"/>
      <c r="D40" s="69"/>
      <c r="E40" s="69"/>
      <c r="F40" s="69"/>
    </row>
    <row r="41" spans="1:6" ht="14.5" x14ac:dyDescent="0.3">
      <c r="A41" s="74" t="s">
        <v>112</v>
      </c>
      <c r="B41" s="69"/>
      <c r="C41" s="69"/>
      <c r="D41" s="69"/>
      <c r="E41" s="69"/>
      <c r="F41" s="69"/>
    </row>
    <row r="42" spans="1:6" ht="14.5" x14ac:dyDescent="0.3">
      <c r="A42" s="74" t="s">
        <v>113</v>
      </c>
      <c r="B42" s="69"/>
      <c r="C42" s="69"/>
      <c r="D42" s="69"/>
      <c r="E42" s="69"/>
      <c r="F42" s="69"/>
    </row>
  </sheetData>
  <mergeCells count="13">
    <mergeCell ref="A38:F38"/>
    <mergeCell ref="A33:F33"/>
    <mergeCell ref="A1:J1"/>
    <mergeCell ref="A41:F41"/>
    <mergeCell ref="A42:F42"/>
    <mergeCell ref="A32:F32"/>
    <mergeCell ref="A31:F31"/>
    <mergeCell ref="A34:F34"/>
    <mergeCell ref="A35:F35"/>
    <mergeCell ref="A40:F40"/>
    <mergeCell ref="A2:J2"/>
    <mergeCell ref="A30:F30"/>
    <mergeCell ref="A39:F39"/>
  </mergeCells>
  <phoneticPr fontId="26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42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522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43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x14ac:dyDescent="0.25">
      <c r="A3" s="11"/>
      <c r="B3" s="12" t="s">
        <v>46</v>
      </c>
      <c r="C3" s="12" t="s">
        <v>47</v>
      </c>
      <c r="D3" s="12" t="s">
        <v>48</v>
      </c>
      <c r="E3" s="11"/>
      <c r="F3" s="12" t="s">
        <v>49</v>
      </c>
      <c r="G3" s="12" t="s">
        <v>50</v>
      </c>
      <c r="H3" s="12" t="s">
        <v>51</v>
      </c>
      <c r="I3" s="11"/>
      <c r="J3" s="11"/>
      <c r="K3" s="12" t="s">
        <v>52</v>
      </c>
    </row>
    <row r="4" spans="1:11" x14ac:dyDescent="0.25">
      <c r="A4" s="7" t="s">
        <v>523</v>
      </c>
      <c r="K4" s="20" t="s">
        <v>524</v>
      </c>
    </row>
    <row r="5" spans="1:11" x14ac:dyDescent="0.25">
      <c r="A5" s="18" t="s">
        <v>501</v>
      </c>
      <c r="B5" s="17">
        <f>Segment_Revenue!B5</f>
        <v>32305</v>
      </c>
      <c r="C5" s="17">
        <f>Segment_Revenue!C5</f>
        <v>33346</v>
      </c>
      <c r="D5" s="17">
        <f>Segment_Revenue!D5</f>
        <v>32228</v>
      </c>
      <c r="F5" s="17">
        <f>Segment_Revenue!F5</f>
        <v>32759.999999999996</v>
      </c>
      <c r="G5" s="17">
        <f>Segment_Revenue!G5</f>
        <v>34966.75</v>
      </c>
      <c r="H5" s="17">
        <f>Segment_Revenue!H5</f>
        <v>36266.400000000001</v>
      </c>
      <c r="K5" s="20" t="s">
        <v>525</v>
      </c>
    </row>
    <row r="6" spans="1:11" x14ac:dyDescent="0.25">
      <c r="A6" s="7" t="s">
        <v>526</v>
      </c>
      <c r="B6" s="42">
        <v>10128</v>
      </c>
      <c r="C6" s="42">
        <v>11594</v>
      </c>
      <c r="D6" s="42">
        <v>9317</v>
      </c>
      <c r="F6" s="49">
        <f>F5*Assumptions!I79</f>
        <v>9827.9999999999982</v>
      </c>
      <c r="G6" s="49">
        <f>G5*Assumptions!I80</f>
        <v>11014.526250000001</v>
      </c>
      <c r="H6" s="49">
        <f>H5*Assumptions!I81</f>
        <v>11967.912</v>
      </c>
      <c r="K6" s="20" t="s">
        <v>527</v>
      </c>
    </row>
    <row r="7" spans="1:11" x14ac:dyDescent="0.25">
      <c r="A7" s="7" t="s">
        <v>528</v>
      </c>
      <c r="B7" s="14">
        <f>B6/B5</f>
        <v>0.31351184027240364</v>
      </c>
      <c r="C7" s="14">
        <f>C6/C5</f>
        <v>0.34768787860612965</v>
      </c>
      <c r="D7" s="14">
        <f>D6/D5</f>
        <v>0.28909643788010425</v>
      </c>
      <c r="F7" s="14">
        <f>F6/F5</f>
        <v>0.3</v>
      </c>
      <c r="G7" s="14">
        <f>G6/G5</f>
        <v>0.315</v>
      </c>
      <c r="H7" s="14">
        <f>H6/H5</f>
        <v>0.33</v>
      </c>
    </row>
    <row r="9" spans="1:11" x14ac:dyDescent="0.25">
      <c r="A9" s="18" t="s">
        <v>504</v>
      </c>
      <c r="B9" s="17">
        <f>Segment_Revenue!B8</f>
        <v>15980</v>
      </c>
      <c r="C9" s="17">
        <f>Segment_Revenue!C8</f>
        <v>16125</v>
      </c>
      <c r="D9" s="17">
        <f>Segment_Revenue!D8</f>
        <v>16919</v>
      </c>
      <c r="F9" s="17">
        <f>Segment_Revenue!F8</f>
        <v>17920</v>
      </c>
      <c r="G9" s="17">
        <f>Segment_Revenue!G8</f>
        <v>21754.999999999996</v>
      </c>
      <c r="H9" s="17">
        <f>Segment_Revenue!H8</f>
        <v>24987.5</v>
      </c>
      <c r="K9" s="20" t="s">
        <v>525</v>
      </c>
    </row>
    <row r="10" spans="1:11" x14ac:dyDescent="0.25">
      <c r="A10" s="7" t="s">
        <v>526</v>
      </c>
      <c r="B10" s="42">
        <v>945</v>
      </c>
      <c r="C10" s="42">
        <v>1414</v>
      </c>
      <c r="D10" s="42">
        <v>3422</v>
      </c>
      <c r="F10" s="49">
        <f>F9*Assumptions!I83</f>
        <v>5017.6000000000004</v>
      </c>
      <c r="G10" s="49">
        <f>G9*Assumptions!I84</f>
        <v>6091.4</v>
      </c>
      <c r="H10" s="49">
        <f>H9*Assumptions!I85</f>
        <v>6746.625</v>
      </c>
      <c r="K10" s="20" t="s">
        <v>527</v>
      </c>
    </row>
    <row r="11" spans="1:11" x14ac:dyDescent="0.25">
      <c r="A11" s="7" t="s">
        <v>528</v>
      </c>
      <c r="B11" s="14">
        <f>B10/B9</f>
        <v>5.9136420525657069E-2</v>
      </c>
      <c r="C11" s="14">
        <f>C10/C9</f>
        <v>8.7689922480620158E-2</v>
      </c>
      <c r="D11" s="14">
        <f>D10/D9</f>
        <v>0.20225781665583073</v>
      </c>
      <c r="F11" s="14">
        <f>F10/F9</f>
        <v>0.28000000000000003</v>
      </c>
      <c r="G11" s="14">
        <f>G10/G9</f>
        <v>0.28000000000000003</v>
      </c>
      <c r="H11" s="14">
        <f>H10/H9</f>
        <v>0.27</v>
      </c>
    </row>
    <row r="13" spans="1:11" x14ac:dyDescent="0.25">
      <c r="A13" s="18" t="s">
        <v>505</v>
      </c>
      <c r="B13" s="17">
        <f>Segment_Revenue!B11</f>
        <v>18504</v>
      </c>
      <c r="C13" s="17">
        <f>Segment_Revenue!C11</f>
        <v>17317</v>
      </c>
      <c r="D13" s="17">
        <f>Segment_Revenue!D11</f>
        <v>17826</v>
      </c>
      <c r="F13" s="17">
        <f>Segment_Revenue!F11</f>
        <v>18398.499999999996</v>
      </c>
      <c r="G13" s="17">
        <f>Segment_Revenue!G11</f>
        <v>20109.3</v>
      </c>
      <c r="H13" s="17">
        <f>Segment_Revenue!H11</f>
        <v>22255.25</v>
      </c>
      <c r="K13" s="20" t="s">
        <v>525</v>
      </c>
    </row>
    <row r="14" spans="1:11" x14ac:dyDescent="0.25">
      <c r="A14" s="7" t="s">
        <v>526</v>
      </c>
      <c r="B14" s="42">
        <v>-7083</v>
      </c>
      <c r="C14" s="42">
        <v>-13291</v>
      </c>
      <c r="D14" s="42">
        <v>-10318</v>
      </c>
      <c r="F14" s="49">
        <f>F13*Assumptions!I87</f>
        <v>-7727.3699999999981</v>
      </c>
      <c r="G14" s="49">
        <f>G13*Assumptions!I88</f>
        <v>-6434.9759999999997</v>
      </c>
      <c r="H14" s="49">
        <f>H13*Assumptions!I89</f>
        <v>-4896.1549999999997</v>
      </c>
      <c r="K14" s="20" t="s">
        <v>527</v>
      </c>
    </row>
    <row r="15" spans="1:11" x14ac:dyDescent="0.25">
      <c r="A15" s="7" t="s">
        <v>528</v>
      </c>
      <c r="B15" s="14">
        <f>B14/B13</f>
        <v>-0.38278210116731515</v>
      </c>
      <c r="C15" s="14">
        <f>C14/C13</f>
        <v>-0.76751169371138184</v>
      </c>
      <c r="D15" s="14">
        <f>D14/D13</f>
        <v>-0.5788174576461349</v>
      </c>
      <c r="F15" s="14">
        <f>F14/F13</f>
        <v>-0.42</v>
      </c>
      <c r="G15" s="14">
        <f>G14/G13</f>
        <v>-0.32</v>
      </c>
      <c r="H15" s="14">
        <f>H14/H13</f>
        <v>-0.22</v>
      </c>
    </row>
    <row r="17" spans="1:11" x14ac:dyDescent="0.25">
      <c r="A17" s="18" t="s">
        <v>506</v>
      </c>
      <c r="B17" s="17">
        <f>Segment_Revenue!B14</f>
        <v>5463</v>
      </c>
      <c r="C17" s="17">
        <f>Segment_Revenue!C14</f>
        <v>3601</v>
      </c>
      <c r="D17" s="17">
        <f>Segment_Revenue!D14</f>
        <v>3563</v>
      </c>
      <c r="F17" s="17">
        <f>Segment_Revenue!F14</f>
        <v>3472</v>
      </c>
      <c r="G17" s="17">
        <f>Segment_Revenue!G14</f>
        <v>3780</v>
      </c>
      <c r="H17" s="17">
        <f>Segment_Revenue!H14</f>
        <v>4090</v>
      </c>
      <c r="K17" s="20" t="s">
        <v>525</v>
      </c>
    </row>
    <row r="18" spans="1:11" x14ac:dyDescent="0.25">
      <c r="A18" s="7" t="s">
        <v>526</v>
      </c>
      <c r="B18" s="42">
        <v>1507</v>
      </c>
      <c r="C18" s="42">
        <v>-57</v>
      </c>
      <c r="D18" s="42">
        <v>264</v>
      </c>
      <c r="F18" s="49">
        <f>F17*Assumptions!I91</f>
        <v>486.08000000000004</v>
      </c>
      <c r="G18" s="49">
        <f>G17*Assumptions!I92</f>
        <v>680.4</v>
      </c>
      <c r="H18" s="49">
        <f>H17*Assumptions!I93</f>
        <v>818</v>
      </c>
      <c r="K18" s="20" t="s">
        <v>527</v>
      </c>
    </row>
    <row r="19" spans="1:11" x14ac:dyDescent="0.25">
      <c r="A19" s="7" t="s">
        <v>528</v>
      </c>
      <c r="B19" s="14">
        <f>B18/B17</f>
        <v>0.27585575691012265</v>
      </c>
      <c r="C19" s="14">
        <f>C18/C17</f>
        <v>-1.5828936406553733E-2</v>
      </c>
      <c r="D19" s="14">
        <f>D18/D17</f>
        <v>7.4094863878753858E-2</v>
      </c>
      <c r="F19" s="14">
        <f>F18/F17</f>
        <v>0.14000000000000001</v>
      </c>
      <c r="G19" s="14">
        <f>G18/G17</f>
        <v>0.18</v>
      </c>
      <c r="H19" s="14">
        <f>H18/H17</f>
        <v>0.2</v>
      </c>
    </row>
    <row r="21" spans="1:11" ht="15" x14ac:dyDescent="0.35">
      <c r="A21" s="9" t="s">
        <v>529</v>
      </c>
      <c r="B21" s="42">
        <v>-5199</v>
      </c>
      <c r="C21" s="42">
        <v>-11177</v>
      </c>
      <c r="D21" s="42">
        <v>-5518</v>
      </c>
      <c r="E21" s="10"/>
      <c r="F21" s="17">
        <f>Assumptions!I156</f>
        <v>-5000</v>
      </c>
      <c r="G21" s="17">
        <f>Assumptions!I157</f>
        <v>-4500</v>
      </c>
      <c r="H21" s="17">
        <f>Assumptions!I158</f>
        <v>-4000</v>
      </c>
      <c r="I21" s="10"/>
      <c r="J21" s="10"/>
      <c r="K21" s="20" t="s">
        <v>530</v>
      </c>
    </row>
    <row r="22" spans="1:11" ht="15" x14ac:dyDescent="0.35">
      <c r="A22" s="9" t="s">
        <v>531</v>
      </c>
      <c r="B22" s="13">
        <f>B6+B10+B14+B18+B21</f>
        <v>298</v>
      </c>
      <c r="C22" s="13">
        <f>C6+C10+C14+C18+C21</f>
        <v>-11517</v>
      </c>
      <c r="D22" s="13">
        <f>D6+D10+D14+D18+D21</f>
        <v>-2833</v>
      </c>
      <c r="E22" s="10"/>
      <c r="F22" s="13">
        <f>F6+F10+F14+F18+F21</f>
        <v>2604.3100000000004</v>
      </c>
      <c r="G22" s="13">
        <f>G6+G10+G14+G18+G21</f>
        <v>6851.3502500000013</v>
      </c>
      <c r="H22" s="13">
        <f>H6+H10+H14+H18+H21</f>
        <v>10636.382000000001</v>
      </c>
      <c r="I22" s="10"/>
      <c r="J22" s="10"/>
      <c r="K22" s="20" t="s">
        <v>532</v>
      </c>
    </row>
    <row r="24" spans="1:11" ht="15" x14ac:dyDescent="0.35">
      <c r="A24" s="9" t="s">
        <v>533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1" x14ac:dyDescent="0.25">
      <c r="A25" s="7" t="s">
        <v>534</v>
      </c>
      <c r="B25" s="49">
        <f>B22</f>
        <v>298</v>
      </c>
      <c r="C25" s="49">
        <f>C22</f>
        <v>-11517</v>
      </c>
      <c r="D25" s="49">
        <f>D22</f>
        <v>-2833</v>
      </c>
      <c r="F25" s="49">
        <f>F22</f>
        <v>2604.3100000000004</v>
      </c>
      <c r="G25" s="49">
        <f>G22</f>
        <v>6851.3502500000013</v>
      </c>
      <c r="H25" s="49">
        <f>H22</f>
        <v>10636.382000000001</v>
      </c>
    </row>
    <row r="26" spans="1:11" x14ac:dyDescent="0.25">
      <c r="A26" s="7" t="s">
        <v>535</v>
      </c>
      <c r="B26" s="17">
        <f>Consolidated_PL!B17</f>
        <v>298</v>
      </c>
      <c r="C26" s="17">
        <f>Consolidated_PL!C17</f>
        <v>-11517</v>
      </c>
      <c r="D26" s="17">
        <f>Consolidated_PL!D17</f>
        <v>-2833</v>
      </c>
      <c r="F26" s="17">
        <f>Consolidated_PL!F17</f>
        <v>2604.3100000000004</v>
      </c>
      <c r="G26" s="17">
        <f>Consolidated_PL!G17</f>
        <v>6851.3502500000013</v>
      </c>
      <c r="H26" s="17">
        <f>Consolidated_PL!H17</f>
        <v>10636.382000000001</v>
      </c>
      <c r="K26" s="20" t="s">
        <v>536</v>
      </c>
    </row>
    <row r="27" spans="1:11" x14ac:dyDescent="0.25">
      <c r="A27" s="7" t="s">
        <v>537</v>
      </c>
      <c r="B27" s="54">
        <f>B25-B26</f>
        <v>0</v>
      </c>
      <c r="C27" s="54">
        <f>C25-C26</f>
        <v>0</v>
      </c>
      <c r="D27" s="54">
        <f>D25-D26</f>
        <v>0</v>
      </c>
      <c r="F27" s="54">
        <f>F25-F26</f>
        <v>0</v>
      </c>
      <c r="G27" s="54">
        <f>G25-G26</f>
        <v>0</v>
      </c>
      <c r="H27" s="54">
        <f>H25-H26</f>
        <v>0</v>
      </c>
      <c r="K27" s="20" t="s">
        <v>538</v>
      </c>
    </row>
    <row r="29" spans="1:11" x14ac:dyDescent="0.25">
      <c r="A29" s="7" t="s">
        <v>101</v>
      </c>
    </row>
    <row r="30" spans="1:11" ht="14.5" x14ac:dyDescent="0.3">
      <c r="A30" s="80" t="s">
        <v>102</v>
      </c>
      <c r="B30" s="69"/>
      <c r="C30" s="69"/>
      <c r="D30" s="69"/>
      <c r="E30" s="69"/>
      <c r="F30" s="69"/>
    </row>
    <row r="31" spans="1:11" ht="14.5" x14ac:dyDescent="0.3">
      <c r="A31" s="76" t="s">
        <v>103</v>
      </c>
      <c r="B31" s="69"/>
      <c r="C31" s="69"/>
      <c r="D31" s="69"/>
      <c r="E31" s="69"/>
      <c r="F31" s="69"/>
    </row>
    <row r="32" spans="1:11" ht="14.5" x14ac:dyDescent="0.3">
      <c r="A32" s="78" t="s">
        <v>104</v>
      </c>
      <c r="B32" s="69"/>
      <c r="C32" s="69"/>
      <c r="D32" s="69"/>
      <c r="E32" s="69"/>
      <c r="F32" s="69"/>
    </row>
    <row r="33" spans="1:6" ht="14.5" x14ac:dyDescent="0.3">
      <c r="A33" s="79" t="s">
        <v>105</v>
      </c>
      <c r="B33" s="69"/>
      <c r="C33" s="69"/>
      <c r="D33" s="69"/>
      <c r="E33" s="69"/>
      <c r="F33" s="69"/>
    </row>
    <row r="34" spans="1:6" ht="14.5" x14ac:dyDescent="0.3">
      <c r="A34" s="79" t="s">
        <v>106</v>
      </c>
      <c r="B34" s="69"/>
      <c r="C34" s="69"/>
      <c r="D34" s="69"/>
      <c r="E34" s="69"/>
      <c r="F34" s="69"/>
    </row>
    <row r="35" spans="1:6" x14ac:dyDescent="0.25">
      <c r="A35" s="69" t="s">
        <v>107</v>
      </c>
      <c r="B35" s="69"/>
      <c r="C35" s="69"/>
      <c r="D35" s="69"/>
      <c r="E35" s="69"/>
      <c r="F35" s="69"/>
    </row>
    <row r="37" spans="1:6" x14ac:dyDescent="0.25">
      <c r="A37" s="7" t="s">
        <v>108</v>
      </c>
    </row>
    <row r="38" spans="1:6" ht="14.5" x14ac:dyDescent="0.3">
      <c r="A38" s="74" t="s">
        <v>109</v>
      </c>
      <c r="B38" s="69"/>
      <c r="C38" s="69"/>
      <c r="D38" s="69"/>
      <c r="E38" s="69"/>
      <c r="F38" s="69"/>
    </row>
    <row r="39" spans="1:6" ht="14.5" x14ac:dyDescent="0.3">
      <c r="A39" s="74" t="s">
        <v>110</v>
      </c>
      <c r="B39" s="69"/>
      <c r="C39" s="69"/>
      <c r="D39" s="69"/>
      <c r="E39" s="69"/>
      <c r="F39" s="69"/>
    </row>
    <row r="40" spans="1:6" ht="14.5" x14ac:dyDescent="0.3">
      <c r="A40" s="74" t="s">
        <v>111</v>
      </c>
      <c r="B40" s="69"/>
      <c r="C40" s="69"/>
      <c r="D40" s="69"/>
      <c r="E40" s="69"/>
      <c r="F40" s="69"/>
    </row>
    <row r="41" spans="1:6" ht="14.5" x14ac:dyDescent="0.3">
      <c r="A41" s="74" t="s">
        <v>112</v>
      </c>
      <c r="B41" s="69"/>
      <c r="C41" s="69"/>
      <c r="D41" s="69"/>
      <c r="E41" s="69"/>
      <c r="F41" s="69"/>
    </row>
    <row r="42" spans="1:6" ht="14.5" x14ac:dyDescent="0.3">
      <c r="A42" s="74" t="s">
        <v>113</v>
      </c>
      <c r="B42" s="69"/>
      <c r="C42" s="69"/>
      <c r="D42" s="69"/>
      <c r="E42" s="69"/>
      <c r="F42" s="69"/>
    </row>
  </sheetData>
  <mergeCells count="13">
    <mergeCell ref="A38:F38"/>
    <mergeCell ref="A33:F33"/>
    <mergeCell ref="A1:J1"/>
    <mergeCell ref="A41:F41"/>
    <mergeCell ref="A42:F42"/>
    <mergeCell ref="A32:F32"/>
    <mergeCell ref="A31:F31"/>
    <mergeCell ref="A34:F34"/>
    <mergeCell ref="A35:F35"/>
    <mergeCell ref="A40:F40"/>
    <mergeCell ref="A2:J2"/>
    <mergeCell ref="A30:F30"/>
    <mergeCell ref="A39:F39"/>
  </mergeCells>
  <phoneticPr fontId="2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K51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539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43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x14ac:dyDescent="0.25">
      <c r="A3" s="11"/>
      <c r="B3" s="12" t="s">
        <v>46</v>
      </c>
      <c r="C3" s="12" t="s">
        <v>47</v>
      </c>
      <c r="D3" s="12" t="s">
        <v>48</v>
      </c>
      <c r="E3" s="11"/>
      <c r="F3" s="12" t="s">
        <v>49</v>
      </c>
      <c r="G3" s="12" t="s">
        <v>50</v>
      </c>
      <c r="H3" s="12" t="s">
        <v>51</v>
      </c>
      <c r="I3" s="11"/>
      <c r="J3" s="11"/>
      <c r="K3" s="12" t="s">
        <v>52</v>
      </c>
    </row>
    <row r="4" spans="1:11" x14ac:dyDescent="0.25">
      <c r="A4" s="7" t="s">
        <v>43</v>
      </c>
      <c r="K4" s="20" t="s">
        <v>540</v>
      </c>
    </row>
    <row r="5" spans="1:11" x14ac:dyDescent="0.25">
      <c r="A5" s="18" t="s">
        <v>541</v>
      </c>
      <c r="B5" s="17">
        <f>Segment_Revenue!B21</f>
        <v>54228</v>
      </c>
      <c r="C5" s="17">
        <f>Segment_Revenue!C21</f>
        <v>53101</v>
      </c>
      <c r="D5" s="17">
        <f>Segment_Revenue!D21</f>
        <v>52853</v>
      </c>
      <c r="F5" s="17">
        <f>Segment_Revenue!F21</f>
        <v>54652</v>
      </c>
      <c r="G5" s="17">
        <f>Segment_Revenue!G21</f>
        <v>61801.75</v>
      </c>
      <c r="H5" s="17">
        <f>Segment_Revenue!H21</f>
        <v>67643.899999999994</v>
      </c>
      <c r="K5" s="20" t="s">
        <v>542</v>
      </c>
    </row>
    <row r="6" spans="1:11" x14ac:dyDescent="0.25">
      <c r="A6" s="7" t="s">
        <v>543</v>
      </c>
      <c r="B6" s="42">
        <v>32517</v>
      </c>
      <c r="C6" s="42">
        <v>35756</v>
      </c>
      <c r="D6" s="42">
        <v>34478</v>
      </c>
      <c r="F6" s="49">
        <f>F5*Assumptions!I96</f>
        <v>33610.979999999996</v>
      </c>
      <c r="G6" s="49">
        <f>G5*Assumptions!I97</f>
        <v>36463.032500000001</v>
      </c>
      <c r="H6" s="49">
        <f>H5*Assumptions!I98</f>
        <v>38218.803499999995</v>
      </c>
      <c r="K6" s="20" t="s">
        <v>544</v>
      </c>
    </row>
    <row r="7" spans="1:11" x14ac:dyDescent="0.25">
      <c r="A7" s="18" t="s">
        <v>545</v>
      </c>
      <c r="B7" s="42">
        <v>21711</v>
      </c>
      <c r="C7" s="42">
        <v>17345</v>
      </c>
      <c r="D7" s="42">
        <v>18375</v>
      </c>
      <c r="F7" s="49">
        <f>F5-F6</f>
        <v>21041.020000000004</v>
      </c>
      <c r="G7" s="49">
        <f>G5-G6</f>
        <v>25338.717499999999</v>
      </c>
      <c r="H7" s="49">
        <f>H5-H6</f>
        <v>29425.0965</v>
      </c>
      <c r="K7" s="20" t="s">
        <v>546</v>
      </c>
    </row>
    <row r="8" spans="1:11" x14ac:dyDescent="0.25">
      <c r="A8" s="7" t="s">
        <v>547</v>
      </c>
      <c r="B8" s="14">
        <f>B7/B5</f>
        <v>0.40036512502766097</v>
      </c>
      <c r="C8" s="14">
        <f>C7/C5</f>
        <v>0.32664168283083184</v>
      </c>
      <c r="D8" s="14">
        <f>D7/D5</f>
        <v>0.34766238434904356</v>
      </c>
      <c r="F8" s="14">
        <f>F7/F5</f>
        <v>0.38500000000000006</v>
      </c>
      <c r="G8" s="14">
        <f>G7/G5</f>
        <v>0.41</v>
      </c>
      <c r="H8" s="14">
        <f>H7/H5</f>
        <v>0.43500000000000005</v>
      </c>
    </row>
    <row r="10" spans="1:11" ht="15" x14ac:dyDescent="0.35">
      <c r="A10" s="9" t="s">
        <v>548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1" x14ac:dyDescent="0.25">
      <c r="A11" s="7" t="s">
        <v>549</v>
      </c>
      <c r="B11" s="42">
        <v>16046</v>
      </c>
      <c r="C11" s="42">
        <v>16546</v>
      </c>
      <c r="D11" s="42">
        <v>13774</v>
      </c>
      <c r="F11" s="49">
        <f>F5*Assumptions!I100</f>
        <v>14209.52</v>
      </c>
      <c r="G11" s="49">
        <f>G5*Assumptions!I101</f>
        <v>15450.4375</v>
      </c>
      <c r="H11" s="49">
        <f>H5*Assumptions!I102</f>
        <v>16234.535999999998</v>
      </c>
      <c r="K11" s="20" t="s">
        <v>550</v>
      </c>
    </row>
    <row r="12" spans="1:11" x14ac:dyDescent="0.25">
      <c r="A12" s="7" t="s">
        <v>551</v>
      </c>
      <c r="B12" s="42">
        <v>5634</v>
      </c>
      <c r="C12" s="42">
        <v>5507</v>
      </c>
      <c r="D12" s="42">
        <v>4624</v>
      </c>
      <c r="F12" s="49">
        <f>F5*Assumptions!I104</f>
        <v>4372.16</v>
      </c>
      <c r="G12" s="49">
        <f>G5*Assumptions!I105</f>
        <v>4635.1312499999995</v>
      </c>
      <c r="H12" s="49">
        <f>H5*Assumptions!I106</f>
        <v>4735.0730000000003</v>
      </c>
      <c r="K12" s="20" t="s">
        <v>552</v>
      </c>
    </row>
    <row r="13" spans="1:11" x14ac:dyDescent="0.25">
      <c r="A13" s="7" t="s">
        <v>553</v>
      </c>
      <c r="B13" s="42">
        <v>-62</v>
      </c>
      <c r="C13" s="42">
        <v>6970</v>
      </c>
      <c r="D13" s="42">
        <v>2191</v>
      </c>
      <c r="F13" s="17">
        <f>Assumptions!I114</f>
        <v>500</v>
      </c>
      <c r="G13" s="17">
        <f>Assumptions!I114</f>
        <v>500</v>
      </c>
      <c r="H13" s="17">
        <f>Assumptions!I114</f>
        <v>500</v>
      </c>
      <c r="K13" s="20" t="s">
        <v>554</v>
      </c>
    </row>
    <row r="14" spans="1:11" x14ac:dyDescent="0.25">
      <c r="A14" s="18" t="s">
        <v>555</v>
      </c>
      <c r="B14" s="49">
        <f>B11+B12+B13</f>
        <v>21618</v>
      </c>
      <c r="C14" s="49">
        <f>C11+C12+C13</f>
        <v>29023</v>
      </c>
      <c r="D14" s="49">
        <f>D11+D12+D13</f>
        <v>20589</v>
      </c>
      <c r="F14" s="49">
        <f>F11+F12+F13</f>
        <v>19081.68</v>
      </c>
      <c r="G14" s="49">
        <f>G11+G12+G13</f>
        <v>20585.568749999999</v>
      </c>
      <c r="H14" s="49">
        <f>H11+H12+H13</f>
        <v>21469.608999999997</v>
      </c>
      <c r="K14" s="20" t="s">
        <v>556</v>
      </c>
    </row>
    <row r="16" spans="1:11" ht="15" x14ac:dyDescent="0.35">
      <c r="A16" s="9" t="s">
        <v>557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1" x14ac:dyDescent="0.25">
      <c r="A17" s="18" t="s">
        <v>558</v>
      </c>
      <c r="B17" s="17">
        <f>Segment_PL!B22</f>
        <v>298</v>
      </c>
      <c r="C17" s="17">
        <f>Segment_PL!C22</f>
        <v>-11517</v>
      </c>
      <c r="D17" s="17">
        <f>Segment_PL!D22</f>
        <v>-2833</v>
      </c>
      <c r="F17" s="17">
        <f>Segment_PL!F22</f>
        <v>2604.3100000000004</v>
      </c>
      <c r="G17" s="17">
        <f>Segment_PL!G22</f>
        <v>6851.3502500000013</v>
      </c>
      <c r="H17" s="17">
        <f>Segment_PL!H22</f>
        <v>10636.382000000001</v>
      </c>
      <c r="K17" s="20" t="s">
        <v>559</v>
      </c>
    </row>
    <row r="18" spans="1:11" x14ac:dyDescent="0.25">
      <c r="A18" s="7" t="s">
        <v>560</v>
      </c>
      <c r="B18" s="14">
        <f>B17/B5</f>
        <v>5.4953160728774802E-3</v>
      </c>
      <c r="C18" s="14">
        <f>C17/C5</f>
        <v>-0.2168885708367074</v>
      </c>
      <c r="D18" s="14">
        <f>D17/D5</f>
        <v>-5.360149849582805E-2</v>
      </c>
      <c r="F18" s="14">
        <f>F17/F5</f>
        <v>4.7652601917587654E-2</v>
      </c>
      <c r="G18" s="14">
        <f>G17/G5</f>
        <v>0.11086013341046171</v>
      </c>
      <c r="H18" s="14">
        <f>H17/H5</f>
        <v>0.15724081550590671</v>
      </c>
    </row>
    <row r="19" spans="1:11" x14ac:dyDescent="0.25">
      <c r="A19" s="7" t="s">
        <v>561</v>
      </c>
      <c r="B19" s="49">
        <f>B7-B17</f>
        <v>21413</v>
      </c>
      <c r="C19" s="49">
        <f>C7-C17</f>
        <v>28862</v>
      </c>
      <c r="D19" s="49">
        <f>D7-D17</f>
        <v>21208</v>
      </c>
      <c r="F19" s="49">
        <f>F7-F17</f>
        <v>18436.710000000003</v>
      </c>
      <c r="G19" s="49">
        <f>G7-G17</f>
        <v>18487.367249999996</v>
      </c>
      <c r="H19" s="49">
        <f>H7-H17</f>
        <v>18788.714499999998</v>
      </c>
      <c r="K19" s="20" t="s">
        <v>562</v>
      </c>
    </row>
    <row r="21" spans="1:11" ht="15" x14ac:dyDescent="0.35">
      <c r="A21" s="9" t="s">
        <v>563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1" x14ac:dyDescent="0.25">
      <c r="A22" s="7" t="s">
        <v>564</v>
      </c>
      <c r="B22" s="42">
        <v>629</v>
      </c>
      <c r="C22" s="42">
        <v>226</v>
      </c>
      <c r="D22" s="42">
        <v>3257</v>
      </c>
      <c r="F22" s="17">
        <f>Assumptions!I147</f>
        <v>-800</v>
      </c>
      <c r="G22" s="17">
        <f>Assumptions!I148</f>
        <v>-600</v>
      </c>
      <c r="H22" s="17">
        <f>Assumptions!I149</f>
        <v>-400</v>
      </c>
      <c r="K22" s="20" t="s">
        <v>565</v>
      </c>
    </row>
    <row r="23" spans="1:11" x14ac:dyDescent="0.25">
      <c r="A23" s="7" t="s">
        <v>566</v>
      </c>
      <c r="B23" s="42">
        <v>40</v>
      </c>
      <c r="C23" s="42">
        <v>242</v>
      </c>
      <c r="D23" s="42">
        <v>514</v>
      </c>
      <c r="F23" s="42">
        <v>0</v>
      </c>
      <c r="G23" s="42">
        <v>0</v>
      </c>
      <c r="H23" s="42">
        <v>0</v>
      </c>
      <c r="K23" s="20" t="s">
        <v>567</v>
      </c>
    </row>
    <row r="24" spans="1:11" x14ac:dyDescent="0.25">
      <c r="A24" s="18" t="s">
        <v>568</v>
      </c>
      <c r="B24" s="49">
        <f>B17+B22+B23</f>
        <v>967</v>
      </c>
      <c r="C24" s="49">
        <f>C17+C22+C23</f>
        <v>-11049</v>
      </c>
      <c r="D24" s="49">
        <f>D17+D22+D23</f>
        <v>938</v>
      </c>
      <c r="F24" s="49">
        <f>F17+F22+F23</f>
        <v>1804.3100000000004</v>
      </c>
      <c r="G24" s="49">
        <f>G17+G22+G23</f>
        <v>6251.3502500000013</v>
      </c>
      <c r="H24" s="49">
        <f>H17+H22+H23</f>
        <v>10236.382000000001</v>
      </c>
      <c r="K24" s="20" t="s">
        <v>569</v>
      </c>
    </row>
    <row r="25" spans="1:11" x14ac:dyDescent="0.25">
      <c r="A25" s="7" t="s">
        <v>570</v>
      </c>
      <c r="B25" s="42">
        <v>-913</v>
      </c>
      <c r="C25" s="42">
        <v>8023</v>
      </c>
      <c r="D25" s="42">
        <v>1531</v>
      </c>
      <c r="F25" s="49">
        <f>IF(F24&gt;0,F24*Assumptions!I143,0)</f>
        <v>216.51720000000003</v>
      </c>
      <c r="G25" s="49">
        <f>IF(G24&gt;0,G24*Assumptions!I144,0)</f>
        <v>812.67553250000014</v>
      </c>
      <c r="H25" s="49">
        <f>IF(H24&gt;0,H24*Assumptions!I145,0)</f>
        <v>1330.7296600000002</v>
      </c>
      <c r="K25" s="20" t="s">
        <v>571</v>
      </c>
    </row>
    <row r="26" spans="1:11" x14ac:dyDescent="0.25">
      <c r="A26" s="18" t="s">
        <v>572</v>
      </c>
      <c r="B26" s="49">
        <f>B24-B25</f>
        <v>1880</v>
      </c>
      <c r="C26" s="49">
        <f>C24-C25</f>
        <v>-19072</v>
      </c>
      <c r="D26" s="49">
        <f>D24-D25</f>
        <v>-593</v>
      </c>
      <c r="F26" s="49">
        <f>F24-F25</f>
        <v>1587.7928000000004</v>
      </c>
      <c r="G26" s="49">
        <f>G24-G25</f>
        <v>5438.674717500001</v>
      </c>
      <c r="H26" s="49">
        <f>H24-H25</f>
        <v>8905.6523400000005</v>
      </c>
      <c r="K26" s="20" t="s">
        <v>573</v>
      </c>
    </row>
    <row r="27" spans="1:11" x14ac:dyDescent="0.25">
      <c r="A27" s="7" t="s">
        <v>574</v>
      </c>
      <c r="B27" s="14">
        <f>B26/B5</f>
        <v>3.466843696983108E-2</v>
      </c>
      <c r="C27" s="14">
        <f>C26/C5</f>
        <v>-0.35916461083595413</v>
      </c>
      <c r="D27" s="14">
        <f>D26/D5</f>
        <v>-1.1219798308516073E-2</v>
      </c>
      <c r="F27" s="14">
        <f>F26/F5</f>
        <v>2.9052784893508023E-2</v>
      </c>
      <c r="G27" s="14">
        <f>G26/G5</f>
        <v>8.800195330229324E-2</v>
      </c>
      <c r="H27" s="14">
        <f>H26/H5</f>
        <v>0.13165492143415741</v>
      </c>
    </row>
    <row r="28" spans="1:11" x14ac:dyDescent="0.25">
      <c r="A28" s="7" t="s">
        <v>575</v>
      </c>
      <c r="B28" s="42">
        <v>-14</v>
      </c>
      <c r="C28" s="42">
        <v>-477</v>
      </c>
      <c r="D28" s="42">
        <v>293</v>
      </c>
      <c r="F28" s="17">
        <f>Assumptions!I151</f>
        <v>750</v>
      </c>
      <c r="G28" s="17">
        <f>Assumptions!I152</f>
        <v>1100</v>
      </c>
      <c r="H28" s="17">
        <f>Assumptions!I153</f>
        <v>1100</v>
      </c>
      <c r="K28" s="20" t="s">
        <v>576</v>
      </c>
    </row>
    <row r="29" spans="1:11" x14ac:dyDescent="0.25">
      <c r="A29" s="18" t="s">
        <v>577</v>
      </c>
      <c r="B29" s="13">
        <f>B26-B28</f>
        <v>1894</v>
      </c>
      <c r="C29" s="13">
        <f>C26-C28</f>
        <v>-18595</v>
      </c>
      <c r="D29" s="13">
        <f>D26-D28</f>
        <v>-886</v>
      </c>
      <c r="F29" s="13">
        <f>F26-F28</f>
        <v>837.7928000000004</v>
      </c>
      <c r="G29" s="13">
        <f>G26-G28</f>
        <v>4338.674717500001</v>
      </c>
      <c r="H29" s="13">
        <f>H26-H28</f>
        <v>7805.6523400000005</v>
      </c>
      <c r="K29" s="20" t="s">
        <v>578</v>
      </c>
    </row>
    <row r="31" spans="1:11" ht="15" x14ac:dyDescent="0.35">
      <c r="A31" s="9" t="s">
        <v>579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1" x14ac:dyDescent="0.25">
      <c r="A32" s="7" t="s">
        <v>580</v>
      </c>
      <c r="B32" s="42">
        <v>7847</v>
      </c>
      <c r="C32" s="42">
        <v>9951</v>
      </c>
      <c r="D32" s="42">
        <v>10757</v>
      </c>
      <c r="F32" s="17">
        <f>Assumptions!I109</f>
        <v>12500</v>
      </c>
      <c r="G32" s="17">
        <f>Assumptions!I110</f>
        <v>13200</v>
      </c>
      <c r="H32" s="17">
        <f>Assumptions!I111</f>
        <v>13800</v>
      </c>
      <c r="K32" s="20" t="s">
        <v>581</v>
      </c>
    </row>
    <row r="33" spans="1:11" x14ac:dyDescent="0.25">
      <c r="A33" s="7" t="s">
        <v>582</v>
      </c>
      <c r="B33" s="42">
        <v>3229</v>
      </c>
      <c r="C33" s="42">
        <v>3410</v>
      </c>
      <c r="D33" s="42">
        <v>2434</v>
      </c>
      <c r="F33" s="17">
        <f>Assumptions!I113</f>
        <v>2500</v>
      </c>
      <c r="G33" s="17">
        <f>Assumptions!I113</f>
        <v>2500</v>
      </c>
      <c r="H33" s="17">
        <f>Assumptions!I113</f>
        <v>2500</v>
      </c>
      <c r="K33" s="20" t="s">
        <v>583</v>
      </c>
    </row>
    <row r="34" spans="1:11" x14ac:dyDescent="0.25">
      <c r="A34" s="7" t="s">
        <v>584</v>
      </c>
      <c r="B34" s="42">
        <v>4212</v>
      </c>
      <c r="C34" s="42">
        <v>4280</v>
      </c>
      <c r="D34" s="42">
        <v>4530</v>
      </c>
      <c r="F34" s="17">
        <f>Assumptions!I135</f>
        <v>5100</v>
      </c>
      <c r="G34" s="17">
        <f>Assumptions!I136</f>
        <v>5180</v>
      </c>
      <c r="H34" s="17">
        <f>Assumptions!I137</f>
        <v>5250</v>
      </c>
      <c r="K34" s="20" t="s">
        <v>585</v>
      </c>
    </row>
    <row r="35" spans="1:11" x14ac:dyDescent="0.25">
      <c r="A35" s="18" t="s">
        <v>586</v>
      </c>
      <c r="B35" s="16">
        <f>B29/B34</f>
        <v>0.44966761633428298</v>
      </c>
      <c r="C35" s="16">
        <f>C29/C34</f>
        <v>-4.3446261682242993</v>
      </c>
      <c r="D35" s="16">
        <f>D29/D34</f>
        <v>-0.19558498896247239</v>
      </c>
      <c r="F35" s="16">
        <f>F29/F34</f>
        <v>0.16427309803921578</v>
      </c>
      <c r="G35" s="16">
        <f>G29/G34</f>
        <v>0.83758199179536696</v>
      </c>
      <c r="H35" s="16">
        <f>H29/H34</f>
        <v>1.4867909219047619</v>
      </c>
      <c r="K35" s="20" t="s">
        <v>587</v>
      </c>
    </row>
    <row r="36" spans="1:11" x14ac:dyDescent="0.25">
      <c r="A36" s="7" t="s">
        <v>588</v>
      </c>
      <c r="B36" s="26">
        <v>0.74</v>
      </c>
      <c r="C36" s="26">
        <v>0.38</v>
      </c>
      <c r="D36" s="26">
        <v>0</v>
      </c>
      <c r="F36" s="55">
        <f>Assumptions!I139</f>
        <v>0</v>
      </c>
      <c r="G36" s="55">
        <f>Assumptions!I139</f>
        <v>0</v>
      </c>
      <c r="H36" s="55">
        <f>Assumptions!I139</f>
        <v>0</v>
      </c>
      <c r="K36" s="20" t="s">
        <v>589</v>
      </c>
    </row>
    <row r="38" spans="1:11" x14ac:dyDescent="0.25">
      <c r="A38" s="7" t="s">
        <v>101</v>
      </c>
    </row>
    <row r="39" spans="1:11" ht="14.5" x14ac:dyDescent="0.3">
      <c r="A39" s="80" t="s">
        <v>102</v>
      </c>
      <c r="B39" s="69"/>
      <c r="C39" s="69"/>
      <c r="D39" s="69"/>
      <c r="E39" s="69"/>
      <c r="F39" s="69"/>
    </row>
    <row r="40" spans="1:11" ht="14.5" x14ac:dyDescent="0.3">
      <c r="A40" s="76" t="s">
        <v>103</v>
      </c>
      <c r="B40" s="69"/>
      <c r="C40" s="69"/>
      <c r="D40" s="69"/>
      <c r="E40" s="69"/>
      <c r="F40" s="69"/>
    </row>
    <row r="41" spans="1:11" ht="14.5" x14ac:dyDescent="0.3">
      <c r="A41" s="78" t="s">
        <v>104</v>
      </c>
      <c r="B41" s="69"/>
      <c r="C41" s="69"/>
      <c r="D41" s="69"/>
      <c r="E41" s="69"/>
      <c r="F41" s="69"/>
    </row>
    <row r="42" spans="1:11" ht="14.5" x14ac:dyDescent="0.3">
      <c r="A42" s="79" t="s">
        <v>105</v>
      </c>
      <c r="B42" s="69"/>
      <c r="C42" s="69"/>
      <c r="D42" s="69"/>
      <c r="E42" s="69"/>
      <c r="F42" s="69"/>
    </row>
    <row r="43" spans="1:11" ht="14.5" x14ac:dyDescent="0.3">
      <c r="A43" s="79" t="s">
        <v>106</v>
      </c>
      <c r="B43" s="69"/>
      <c r="C43" s="69"/>
      <c r="D43" s="69"/>
      <c r="E43" s="69"/>
      <c r="F43" s="69"/>
    </row>
    <row r="44" spans="1:11" x14ac:dyDescent="0.25">
      <c r="A44" s="69" t="s">
        <v>107</v>
      </c>
      <c r="B44" s="69"/>
      <c r="C44" s="69"/>
      <c r="D44" s="69"/>
      <c r="E44" s="69"/>
      <c r="F44" s="69"/>
    </row>
    <row r="46" spans="1:11" x14ac:dyDescent="0.25">
      <c r="A46" s="7" t="s">
        <v>108</v>
      </c>
    </row>
    <row r="47" spans="1:11" ht="14.5" x14ac:dyDescent="0.3">
      <c r="A47" s="74" t="s">
        <v>109</v>
      </c>
      <c r="B47" s="69"/>
      <c r="C47" s="69"/>
      <c r="D47" s="69"/>
      <c r="E47" s="69"/>
      <c r="F47" s="69"/>
    </row>
    <row r="48" spans="1:11" ht="14.5" x14ac:dyDescent="0.3">
      <c r="A48" s="74" t="s">
        <v>110</v>
      </c>
      <c r="B48" s="69"/>
      <c r="C48" s="69"/>
      <c r="D48" s="69"/>
      <c r="E48" s="69"/>
      <c r="F48" s="69"/>
    </row>
    <row r="49" spans="1:6" ht="14.5" x14ac:dyDescent="0.3">
      <c r="A49" s="74" t="s">
        <v>111</v>
      </c>
      <c r="B49" s="69"/>
      <c r="C49" s="69"/>
      <c r="D49" s="69"/>
      <c r="E49" s="69"/>
      <c r="F49" s="69"/>
    </row>
    <row r="50" spans="1:6" ht="14.5" x14ac:dyDescent="0.3">
      <c r="A50" s="74" t="s">
        <v>112</v>
      </c>
      <c r="B50" s="69"/>
      <c r="C50" s="69"/>
      <c r="D50" s="69"/>
      <c r="E50" s="69"/>
      <c r="F50" s="69"/>
    </row>
    <row r="51" spans="1:6" ht="14.5" x14ac:dyDescent="0.3">
      <c r="A51" s="74" t="s">
        <v>113</v>
      </c>
      <c r="B51" s="69"/>
      <c r="C51" s="69"/>
      <c r="D51" s="69"/>
      <c r="E51" s="69"/>
      <c r="F51" s="69"/>
    </row>
  </sheetData>
  <mergeCells count="13">
    <mergeCell ref="A51:F51"/>
    <mergeCell ref="A44:F44"/>
    <mergeCell ref="A40:F40"/>
    <mergeCell ref="A50:F50"/>
    <mergeCell ref="A2:J2"/>
    <mergeCell ref="A39:F39"/>
    <mergeCell ref="A48:F48"/>
    <mergeCell ref="A43:F43"/>
    <mergeCell ref="A41:F41"/>
    <mergeCell ref="A1:J1"/>
    <mergeCell ref="A49:F49"/>
    <mergeCell ref="A47:F47"/>
    <mergeCell ref="A42:F42"/>
  </mergeCells>
  <phoneticPr fontId="2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K62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590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43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x14ac:dyDescent="0.25">
      <c r="A3" s="11"/>
      <c r="B3" s="12" t="s">
        <v>46</v>
      </c>
      <c r="C3" s="12" t="s">
        <v>47</v>
      </c>
      <c r="D3" s="12" t="s">
        <v>48</v>
      </c>
      <c r="E3" s="11"/>
      <c r="F3" s="12" t="s">
        <v>49</v>
      </c>
      <c r="G3" s="12" t="s">
        <v>50</v>
      </c>
      <c r="H3" s="12" t="s">
        <v>51</v>
      </c>
      <c r="I3" s="11"/>
      <c r="J3" s="11"/>
      <c r="K3" s="12" t="s">
        <v>52</v>
      </c>
    </row>
    <row r="4" spans="1:11" x14ac:dyDescent="0.25">
      <c r="A4" s="7" t="s">
        <v>499</v>
      </c>
      <c r="K4" s="20" t="s">
        <v>591</v>
      </c>
    </row>
    <row r="5" spans="1:11" ht="15" x14ac:dyDescent="0.35">
      <c r="A5" s="9" t="s">
        <v>592</v>
      </c>
      <c r="B5" s="10"/>
      <c r="C5" s="10"/>
      <c r="D5" s="10"/>
      <c r="E5" s="10"/>
      <c r="F5" s="10"/>
      <c r="G5" s="10"/>
      <c r="H5" s="10"/>
      <c r="I5" s="10"/>
      <c r="J5" s="10"/>
    </row>
    <row r="6" spans="1:11" ht="15" x14ac:dyDescent="0.35">
      <c r="A6" s="9" t="s">
        <v>593</v>
      </c>
      <c r="B6" s="10"/>
      <c r="C6" s="10"/>
      <c r="D6" s="10"/>
      <c r="E6" s="10"/>
      <c r="F6" s="10"/>
      <c r="G6" s="10"/>
      <c r="H6" s="10"/>
      <c r="I6" s="10"/>
      <c r="J6" s="10"/>
    </row>
    <row r="7" spans="1:11" x14ac:dyDescent="0.25">
      <c r="A7" s="18" t="s">
        <v>594</v>
      </c>
      <c r="B7" s="42">
        <v>7079</v>
      </c>
      <c r="C7" s="42">
        <v>8249</v>
      </c>
      <c r="D7" s="42">
        <v>14265</v>
      </c>
      <c r="F7" s="13">
        <f>F43-F20-(F8+F9+F10+F11)</f>
        <v>21388.263210958918</v>
      </c>
      <c r="G7" s="13">
        <f>G43-G20-(G8+G9+G10+G11)</f>
        <v>21900.33546270548</v>
      </c>
      <c r="H7" s="13">
        <f>H43-H20-(H8+H9+H10+H11)</f>
        <v>25995.590754760276</v>
      </c>
      <c r="K7" s="20" t="s">
        <v>595</v>
      </c>
    </row>
    <row r="8" spans="1:11" x14ac:dyDescent="0.25">
      <c r="A8" s="7" t="s">
        <v>596</v>
      </c>
      <c r="B8" s="42">
        <v>17955</v>
      </c>
      <c r="C8" s="42">
        <v>13813</v>
      </c>
      <c r="D8" s="42">
        <v>23151</v>
      </c>
      <c r="F8" s="42">
        <v>24000</v>
      </c>
      <c r="G8" s="42">
        <v>24000</v>
      </c>
      <c r="H8" s="42">
        <v>24000</v>
      </c>
      <c r="K8" s="20" t="s">
        <v>597</v>
      </c>
    </row>
    <row r="9" spans="1:11" x14ac:dyDescent="0.25">
      <c r="A9" s="7" t="s">
        <v>598</v>
      </c>
      <c r="B9" s="42">
        <v>3402</v>
      </c>
      <c r="C9" s="42">
        <v>3478</v>
      </c>
      <c r="D9" s="42">
        <v>3839</v>
      </c>
      <c r="F9" s="49">
        <f>Consolidated_PL!F5*Assumptions!I117/365</f>
        <v>3743.2876712328766</v>
      </c>
      <c r="G9" s="49">
        <f>Consolidated_PL!G5*Assumptions!I117/365</f>
        <v>4232.9965753424658</v>
      </c>
      <c r="H9" s="49">
        <f>Consolidated_PL!H5*Assumptions!I117/365</f>
        <v>4633.1438356164381</v>
      </c>
      <c r="K9" s="20" t="s">
        <v>599</v>
      </c>
    </row>
    <row r="10" spans="1:11" x14ac:dyDescent="0.25">
      <c r="A10" s="7" t="s">
        <v>600</v>
      </c>
      <c r="B10" s="42">
        <v>11127</v>
      </c>
      <c r="C10" s="42">
        <v>12198</v>
      </c>
      <c r="D10" s="42">
        <v>11618</v>
      </c>
      <c r="F10" s="49">
        <f>Consolidated_PL!F6*Assumptions!I119/365</f>
        <v>11510.609589041092</v>
      </c>
      <c r="G10" s="49">
        <f>Consolidated_PL!G6*Assumptions!I119/365</f>
        <v>12487.339897260274</v>
      </c>
      <c r="H10" s="49">
        <f>Consolidated_PL!H6*Assumptions!I119/365</f>
        <v>13088.631335616436</v>
      </c>
      <c r="K10" s="20" t="s">
        <v>601</v>
      </c>
    </row>
    <row r="11" spans="1:11" x14ac:dyDescent="0.25">
      <c r="A11" s="7" t="s">
        <v>602</v>
      </c>
      <c r="B11" s="42">
        <v>3706</v>
      </c>
      <c r="C11" s="42">
        <v>9586</v>
      </c>
      <c r="D11" s="42">
        <v>10815</v>
      </c>
      <c r="F11" s="49">
        <f>Consolidated_PL!F5*Assumptions!I121</f>
        <v>8197.7999999999993</v>
      </c>
      <c r="G11" s="49">
        <f>Consolidated_PL!G5*Assumptions!I121</f>
        <v>9270.2624999999989</v>
      </c>
      <c r="H11" s="49">
        <f>Consolidated_PL!H5*Assumptions!I121</f>
        <v>10146.584999999999</v>
      </c>
      <c r="K11" s="20" t="s">
        <v>603</v>
      </c>
    </row>
    <row r="12" spans="1:11" x14ac:dyDescent="0.25">
      <c r="A12" s="18" t="s">
        <v>604</v>
      </c>
      <c r="B12" s="49">
        <f>B7+B8+B9+B10+B11</f>
        <v>43269</v>
      </c>
      <c r="C12" s="49">
        <f>C7+C8+C9+C10+C11</f>
        <v>47324</v>
      </c>
      <c r="D12" s="49">
        <f>D7+D8+D9+D10+D11</f>
        <v>63688</v>
      </c>
      <c r="F12" s="49">
        <f>F7+F8+F9+F10+F11</f>
        <v>68839.960471232887</v>
      </c>
      <c r="G12" s="49">
        <f>G7+G8+G9+G10+G11</f>
        <v>71890.934435308212</v>
      </c>
      <c r="H12" s="49">
        <f>H7+H8+H9+H10+H11</f>
        <v>77863.950925993151</v>
      </c>
      <c r="K12" s="20" t="s">
        <v>605</v>
      </c>
    </row>
    <row r="14" spans="1:11" ht="15" x14ac:dyDescent="0.35">
      <c r="A14" s="9" t="s">
        <v>606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1" ht="24" x14ac:dyDescent="0.25">
      <c r="A15" s="7" t="s">
        <v>607</v>
      </c>
      <c r="B15" s="42">
        <v>96647</v>
      </c>
      <c r="C15" s="42">
        <v>107919</v>
      </c>
      <c r="D15" s="42">
        <v>105414</v>
      </c>
      <c r="F15" s="49">
        <f>D15+Assumptions!I126-Consolidated_PL!F32</f>
        <v>110614</v>
      </c>
      <c r="G15" s="49">
        <f>F15+Assumptions!I127-Consolidated_PL!G32</f>
        <v>116914</v>
      </c>
      <c r="H15" s="49">
        <f>G15+Assumptions!I128-Consolidated_PL!H32</f>
        <v>124114</v>
      </c>
      <c r="K15" s="20" t="s">
        <v>608</v>
      </c>
    </row>
    <row r="16" spans="1:11" x14ac:dyDescent="0.25">
      <c r="A16" s="7" t="s">
        <v>609</v>
      </c>
      <c r="B16" s="42">
        <v>5829</v>
      </c>
      <c r="C16" s="42">
        <v>5383</v>
      </c>
      <c r="D16" s="42">
        <v>8512</v>
      </c>
      <c r="F16" s="42">
        <v>8500</v>
      </c>
      <c r="G16" s="42">
        <v>8500</v>
      </c>
      <c r="H16" s="42">
        <v>8500</v>
      </c>
      <c r="K16" s="20" t="s">
        <v>610</v>
      </c>
    </row>
    <row r="17" spans="1:11" x14ac:dyDescent="0.25">
      <c r="A17" s="7" t="s">
        <v>611</v>
      </c>
      <c r="B17" s="42">
        <v>27591</v>
      </c>
      <c r="C17" s="42">
        <v>24693</v>
      </c>
      <c r="D17" s="42">
        <v>23912</v>
      </c>
      <c r="F17" s="42">
        <v>20012</v>
      </c>
      <c r="G17" s="42">
        <v>20012</v>
      </c>
      <c r="H17" s="42">
        <v>20012</v>
      </c>
      <c r="K17" s="20" t="s">
        <v>612</v>
      </c>
    </row>
    <row r="18" spans="1:11" x14ac:dyDescent="0.25">
      <c r="A18" s="7" t="s">
        <v>613</v>
      </c>
      <c r="B18" s="42">
        <v>4589</v>
      </c>
      <c r="C18" s="42">
        <v>3691</v>
      </c>
      <c r="D18" s="42">
        <v>2772</v>
      </c>
      <c r="F18" s="49">
        <f>D18-500</f>
        <v>2272</v>
      </c>
      <c r="G18" s="49">
        <f>F18-500</f>
        <v>1772</v>
      </c>
      <c r="H18" s="49">
        <f>G18-500</f>
        <v>1272</v>
      </c>
      <c r="K18" s="20" t="s">
        <v>614</v>
      </c>
    </row>
    <row r="19" spans="1:11" x14ac:dyDescent="0.25">
      <c r="A19" s="7" t="s">
        <v>615</v>
      </c>
      <c r="B19" s="42">
        <v>13647</v>
      </c>
      <c r="C19" s="42">
        <v>7475</v>
      </c>
      <c r="D19" s="42">
        <v>7131</v>
      </c>
      <c r="F19" s="42">
        <v>7000</v>
      </c>
      <c r="G19" s="42">
        <v>7000</v>
      </c>
      <c r="H19" s="42">
        <v>7000</v>
      </c>
      <c r="K19" s="20" t="s">
        <v>616</v>
      </c>
    </row>
    <row r="20" spans="1:11" x14ac:dyDescent="0.25">
      <c r="A20" s="18" t="s">
        <v>617</v>
      </c>
      <c r="B20" s="49">
        <f>B15+B16+B17+B18+B19</f>
        <v>148303</v>
      </c>
      <c r="C20" s="49">
        <f>C15+C16+C17+C18+C19</f>
        <v>149161</v>
      </c>
      <c r="D20" s="49">
        <f>D15+D16+D17+D18+D19</f>
        <v>147741</v>
      </c>
      <c r="F20" s="49">
        <f>F15+F16+F17+F18+F19</f>
        <v>148398</v>
      </c>
      <c r="G20" s="49">
        <f>G15+G16+G17+G18+G19</f>
        <v>154198</v>
      </c>
      <c r="H20" s="49">
        <f>H15+H16+H17+H18+H19</f>
        <v>160898</v>
      </c>
    </row>
    <row r="21" spans="1:11" x14ac:dyDescent="0.25">
      <c r="A21" s="18" t="s">
        <v>618</v>
      </c>
      <c r="B21" s="13">
        <f>B12+B20</f>
        <v>191572</v>
      </c>
      <c r="C21" s="13">
        <f>C12+C20</f>
        <v>196485</v>
      </c>
      <c r="D21" s="13">
        <f>D12+D20</f>
        <v>211429</v>
      </c>
      <c r="F21" s="13">
        <f>F12+F20</f>
        <v>217237.96047123289</v>
      </c>
      <c r="G21" s="13">
        <f>G12+G20</f>
        <v>226088.93443530821</v>
      </c>
      <c r="H21" s="13">
        <f>H12+H20</f>
        <v>238761.95092599315</v>
      </c>
    </row>
    <row r="24" spans="1:11" ht="15" x14ac:dyDescent="0.35">
      <c r="A24" s="9" t="s">
        <v>619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1" ht="15" x14ac:dyDescent="0.35">
      <c r="A25" s="9" t="s">
        <v>620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1" x14ac:dyDescent="0.25">
      <c r="A26" s="7" t="s">
        <v>621</v>
      </c>
      <c r="B26" s="42">
        <v>8578</v>
      </c>
      <c r="C26" s="42">
        <v>12556</v>
      </c>
      <c r="D26" s="42">
        <v>9882</v>
      </c>
      <c r="F26" s="49">
        <f>Consolidated_PL!F6*Assumptions!I118/365</f>
        <v>9208.4876712328751</v>
      </c>
      <c r="G26" s="49">
        <f>Consolidated_PL!G6*Assumptions!I118/365</f>
        <v>9989.8719178082192</v>
      </c>
      <c r="H26" s="49">
        <f>Consolidated_PL!H6*Assumptions!I118/365</f>
        <v>10470.90506849315</v>
      </c>
      <c r="K26" s="20" t="s">
        <v>622</v>
      </c>
    </row>
    <row r="27" spans="1:11" x14ac:dyDescent="0.25">
      <c r="A27" s="7" t="s">
        <v>623</v>
      </c>
      <c r="B27" s="42">
        <v>3655</v>
      </c>
      <c r="C27" s="42">
        <v>3343</v>
      </c>
      <c r="D27" s="42">
        <v>3990</v>
      </c>
      <c r="F27" s="49">
        <f>Consolidated_PL!F5*Assumptions!I120</f>
        <v>3825.6400000000003</v>
      </c>
      <c r="G27" s="49">
        <f>Consolidated_PL!G5*Assumptions!I120</f>
        <v>4326.1225000000004</v>
      </c>
      <c r="H27" s="49">
        <f>Consolidated_PL!H5*Assumptions!I120</f>
        <v>4735.0730000000003</v>
      </c>
      <c r="K27" s="20" t="s">
        <v>624</v>
      </c>
    </row>
    <row r="28" spans="1:11" x14ac:dyDescent="0.25">
      <c r="A28" s="7" t="s">
        <v>625</v>
      </c>
      <c r="B28" s="42">
        <v>2288</v>
      </c>
      <c r="C28" s="42">
        <v>3729</v>
      </c>
      <c r="D28" s="42">
        <v>2499</v>
      </c>
      <c r="F28" s="42">
        <v>2500</v>
      </c>
      <c r="G28" s="42">
        <v>2500</v>
      </c>
      <c r="H28" s="42">
        <v>2500</v>
      </c>
      <c r="K28" s="20" t="s">
        <v>626</v>
      </c>
    </row>
    <row r="29" spans="1:11" x14ac:dyDescent="0.25">
      <c r="A29" s="7" t="s">
        <v>627</v>
      </c>
      <c r="B29" s="42">
        <v>1107</v>
      </c>
      <c r="C29" s="42">
        <v>1756</v>
      </c>
      <c r="D29" s="42">
        <v>604</v>
      </c>
      <c r="F29" s="49">
        <f>Consolidated_PL!F5*Assumptions!I123</f>
        <v>1093.04</v>
      </c>
      <c r="G29" s="49">
        <f>Consolidated_PL!G5*Assumptions!I123</f>
        <v>1236.0350000000001</v>
      </c>
      <c r="H29" s="49">
        <f>Consolidated_PL!H5*Assumptions!I123</f>
        <v>1352.8779999999999</v>
      </c>
      <c r="K29" s="20" t="s">
        <v>628</v>
      </c>
    </row>
    <row r="30" spans="1:11" x14ac:dyDescent="0.25">
      <c r="A30" s="7" t="s">
        <v>629</v>
      </c>
      <c r="B30" s="42">
        <v>12425</v>
      </c>
      <c r="C30" s="42">
        <v>14282</v>
      </c>
      <c r="D30" s="42">
        <v>14600</v>
      </c>
      <c r="F30" s="49">
        <f>Consolidated_PL!F5*Assumptions!I122</f>
        <v>13663</v>
      </c>
      <c r="G30" s="49">
        <f>Consolidated_PL!G5*Assumptions!I122</f>
        <v>15450.4375</v>
      </c>
      <c r="H30" s="49">
        <f>Consolidated_PL!H5*Assumptions!I122</f>
        <v>16910.974999999999</v>
      </c>
      <c r="K30" s="20" t="s">
        <v>630</v>
      </c>
    </row>
    <row r="31" spans="1:11" x14ac:dyDescent="0.25">
      <c r="A31" s="18" t="s">
        <v>631</v>
      </c>
      <c r="B31" s="49">
        <f>B26+B27+B28+B29+B30</f>
        <v>28053</v>
      </c>
      <c r="C31" s="49">
        <f>C26+C27+C28+C29+C30</f>
        <v>35666</v>
      </c>
      <c r="D31" s="49">
        <f>D26+D27+D28+D29+D30</f>
        <v>31575</v>
      </c>
      <c r="F31" s="49">
        <f>F26+F27+F28+F29+F30</f>
        <v>30290.167671232877</v>
      </c>
      <c r="G31" s="49">
        <f>G26+G27+G28+G29+G30</f>
        <v>33502.466917808219</v>
      </c>
      <c r="H31" s="49">
        <f>H26+H27+H28+H29+H30</f>
        <v>35969.831068493149</v>
      </c>
    </row>
    <row r="33" spans="1:11" ht="15" x14ac:dyDescent="0.35">
      <c r="A33" s="9" t="s">
        <v>632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1" x14ac:dyDescent="0.25">
      <c r="A34" s="7" t="s">
        <v>633</v>
      </c>
      <c r="B34" s="42">
        <v>46978</v>
      </c>
      <c r="C34" s="42">
        <v>46282</v>
      </c>
      <c r="D34" s="42">
        <v>44086</v>
      </c>
      <c r="F34" s="49">
        <f>Assumptions!I131-F28</f>
        <v>47000</v>
      </c>
      <c r="G34" s="49">
        <f>Assumptions!I132-G28</f>
        <v>44700</v>
      </c>
      <c r="H34" s="49">
        <f>Assumptions!I133-H28</f>
        <v>43500</v>
      </c>
      <c r="K34" s="20" t="s">
        <v>634</v>
      </c>
    </row>
    <row r="35" spans="1:11" x14ac:dyDescent="0.25">
      <c r="A35" s="7" t="s">
        <v>635</v>
      </c>
      <c r="B35" s="42">
        <v>6576</v>
      </c>
      <c r="C35" s="42">
        <v>9505</v>
      </c>
      <c r="D35" s="42">
        <v>9408</v>
      </c>
      <c r="F35" s="42">
        <v>9500</v>
      </c>
      <c r="G35" s="42">
        <v>9500</v>
      </c>
      <c r="H35" s="42">
        <v>9500</v>
      </c>
      <c r="K35" s="20" t="s">
        <v>636</v>
      </c>
    </row>
    <row r="36" spans="1:11" x14ac:dyDescent="0.25">
      <c r="A36" s="18" t="s">
        <v>637</v>
      </c>
      <c r="B36" s="49">
        <f>B34+B35</f>
        <v>53554</v>
      </c>
      <c r="C36" s="49">
        <f>C34+C35</f>
        <v>55787</v>
      </c>
      <c r="D36" s="49">
        <f>D34+D35</f>
        <v>53494</v>
      </c>
      <c r="F36" s="49">
        <f>F34+F35</f>
        <v>56500</v>
      </c>
      <c r="G36" s="49">
        <f>G34+G35</f>
        <v>54200</v>
      </c>
      <c r="H36" s="49">
        <f>H34+H35</f>
        <v>53000</v>
      </c>
    </row>
    <row r="37" spans="1:11" x14ac:dyDescent="0.25">
      <c r="A37" s="18" t="s">
        <v>638</v>
      </c>
      <c r="B37" s="49">
        <f>B31+B36</f>
        <v>81607</v>
      </c>
      <c r="C37" s="49">
        <f>C31+C36</f>
        <v>91453</v>
      </c>
      <c r="D37" s="49">
        <f>D31+D36</f>
        <v>85069</v>
      </c>
      <c r="F37" s="49">
        <f>F31+F36</f>
        <v>86790.167671232877</v>
      </c>
      <c r="G37" s="49">
        <f>G31+G36</f>
        <v>87702.466917808226</v>
      </c>
      <c r="H37" s="49">
        <f>H31+H36</f>
        <v>88969.831068493149</v>
      </c>
    </row>
    <row r="39" spans="1:11" ht="15" x14ac:dyDescent="0.35">
      <c r="A39" s="9" t="s">
        <v>639</v>
      </c>
      <c r="B39" s="10"/>
      <c r="C39" s="10"/>
      <c r="D39" s="10"/>
      <c r="E39" s="10"/>
      <c r="F39" s="10"/>
      <c r="G39" s="10"/>
      <c r="H39" s="10"/>
      <c r="I39" s="10"/>
      <c r="J39" s="10"/>
    </row>
    <row r="40" spans="1:11" x14ac:dyDescent="0.25">
      <c r="A40" s="7" t="s">
        <v>640</v>
      </c>
      <c r="B40" s="42">
        <v>105590</v>
      </c>
      <c r="C40" s="42">
        <v>99270</v>
      </c>
      <c r="D40" s="42">
        <v>114281</v>
      </c>
      <c r="F40" s="49">
        <f>D40+Consolidated_PL!F29+Consolidated_PL!F33+Assumptions!I140</f>
        <v>117918.7928</v>
      </c>
      <c r="G40" s="49">
        <f>F40+Consolidated_PL!G29+Consolidated_PL!G33+Assumptions!I140</f>
        <v>125057.4675175</v>
      </c>
      <c r="H40" s="49">
        <f>G40+Consolidated_PL!H29+Consolidated_PL!H33+Assumptions!I140</f>
        <v>135663.11985750002</v>
      </c>
      <c r="K40" s="20" t="s">
        <v>641</v>
      </c>
    </row>
    <row r="41" spans="1:11" ht="24" x14ac:dyDescent="0.25">
      <c r="A41" s="7" t="s">
        <v>642</v>
      </c>
      <c r="B41" s="42">
        <v>4375</v>
      </c>
      <c r="C41" s="42">
        <v>5762</v>
      </c>
      <c r="D41" s="42">
        <v>12079</v>
      </c>
      <c r="F41" s="49">
        <f>D41+Consolidated_PL!F28-300</f>
        <v>12529</v>
      </c>
      <c r="G41" s="49">
        <f>F41+Consolidated_PL!G28-300</f>
        <v>13329</v>
      </c>
      <c r="H41" s="49">
        <f>G41+Consolidated_PL!H28-300</f>
        <v>14129</v>
      </c>
      <c r="K41" s="20" t="s">
        <v>643</v>
      </c>
    </row>
    <row r="42" spans="1:11" x14ac:dyDescent="0.25">
      <c r="A42" s="18" t="s">
        <v>644</v>
      </c>
      <c r="B42" s="49">
        <f>B40+B41</f>
        <v>109965</v>
      </c>
      <c r="C42" s="49">
        <f>C40+C41</f>
        <v>105032</v>
      </c>
      <c r="D42" s="49">
        <f>D40+D41</f>
        <v>126360</v>
      </c>
      <c r="F42" s="49">
        <f>F40+F41</f>
        <v>130447.7928</v>
      </c>
      <c r="G42" s="49">
        <f>G40+G41</f>
        <v>138386.46751749999</v>
      </c>
      <c r="H42" s="49">
        <f>H40+H41</f>
        <v>149792.11985750002</v>
      </c>
    </row>
    <row r="43" spans="1:11" x14ac:dyDescent="0.25">
      <c r="A43" s="18" t="s">
        <v>645</v>
      </c>
      <c r="B43" s="13">
        <f>B37+B42</f>
        <v>191572</v>
      </c>
      <c r="C43" s="13">
        <f>C37+C42</f>
        <v>196485</v>
      </c>
      <c r="D43" s="13">
        <f>D37+D42</f>
        <v>211429</v>
      </c>
      <c r="F43" s="13">
        <f>F37+F42</f>
        <v>217237.96047123289</v>
      </c>
      <c r="G43" s="13">
        <f>G37+G42</f>
        <v>226088.93443530821</v>
      </c>
      <c r="H43" s="13">
        <f>H37+H42</f>
        <v>238761.95092599315</v>
      </c>
    </row>
    <row r="45" spans="1:11" x14ac:dyDescent="0.25">
      <c r="A45" s="7" t="s">
        <v>72</v>
      </c>
      <c r="B45" s="49">
        <f>B12+B20</f>
        <v>191572</v>
      </c>
      <c r="C45" s="49">
        <f>C12+C20</f>
        <v>196485</v>
      </c>
      <c r="D45" s="49">
        <f>D12+D20</f>
        <v>211429</v>
      </c>
      <c r="E45" s="10"/>
      <c r="F45" s="49">
        <f>F12+F20</f>
        <v>217237.96047123289</v>
      </c>
      <c r="G45" s="49">
        <f>G12+G20</f>
        <v>226088.93443530821</v>
      </c>
      <c r="H45" s="49">
        <f>H12+H20</f>
        <v>238761.95092599315</v>
      </c>
      <c r="I45" s="10"/>
      <c r="J45" s="10"/>
    </row>
    <row r="46" spans="1:11" x14ac:dyDescent="0.25">
      <c r="A46" s="7" t="s">
        <v>646</v>
      </c>
      <c r="B46" s="49">
        <f>B43</f>
        <v>191572</v>
      </c>
      <c r="C46" s="49">
        <f>C43</f>
        <v>196485</v>
      </c>
      <c r="D46" s="49">
        <f>D43</f>
        <v>211429</v>
      </c>
      <c r="F46" s="49">
        <f>F43</f>
        <v>217237.96047123289</v>
      </c>
      <c r="G46" s="49">
        <f>G43</f>
        <v>226088.93443530821</v>
      </c>
      <c r="H46" s="49">
        <f>H43</f>
        <v>238761.95092599315</v>
      </c>
    </row>
    <row r="47" spans="1:11" x14ac:dyDescent="0.25">
      <c r="A47" s="18" t="s">
        <v>647</v>
      </c>
      <c r="B47" s="54">
        <f>B45-B46</f>
        <v>0</v>
      </c>
      <c r="C47" s="54">
        <f>C45-C46</f>
        <v>0</v>
      </c>
      <c r="D47" s="54">
        <f>D45-D46</f>
        <v>0</v>
      </c>
      <c r="F47" s="54">
        <f>F45-F46</f>
        <v>0</v>
      </c>
      <c r="G47" s="54">
        <f>G45-G46</f>
        <v>0</v>
      </c>
      <c r="H47" s="54">
        <f>H45-H46</f>
        <v>0</v>
      </c>
      <c r="K47" s="20" t="s">
        <v>648</v>
      </c>
    </row>
    <row r="49" spans="1:6" x14ac:dyDescent="0.25">
      <c r="A49" s="7" t="s">
        <v>101</v>
      </c>
    </row>
    <row r="50" spans="1:6" ht="14.5" x14ac:dyDescent="0.3">
      <c r="A50" s="80" t="s">
        <v>102</v>
      </c>
      <c r="B50" s="69"/>
      <c r="C50" s="69"/>
      <c r="D50" s="69"/>
      <c r="E50" s="69"/>
      <c r="F50" s="69"/>
    </row>
    <row r="51" spans="1:6" ht="14.5" x14ac:dyDescent="0.3">
      <c r="A51" s="76" t="s">
        <v>103</v>
      </c>
      <c r="B51" s="69"/>
      <c r="C51" s="69"/>
      <c r="D51" s="69"/>
      <c r="E51" s="69"/>
      <c r="F51" s="69"/>
    </row>
    <row r="52" spans="1:6" ht="14.5" x14ac:dyDescent="0.3">
      <c r="A52" s="78" t="s">
        <v>104</v>
      </c>
      <c r="B52" s="69"/>
      <c r="C52" s="69"/>
      <c r="D52" s="69"/>
      <c r="E52" s="69"/>
      <c r="F52" s="69"/>
    </row>
    <row r="53" spans="1:6" ht="14.5" x14ac:dyDescent="0.3">
      <c r="A53" s="79" t="s">
        <v>105</v>
      </c>
      <c r="B53" s="69"/>
      <c r="C53" s="69"/>
      <c r="D53" s="69"/>
      <c r="E53" s="69"/>
      <c r="F53" s="69"/>
    </row>
    <row r="54" spans="1:6" ht="14.5" x14ac:dyDescent="0.3">
      <c r="A54" s="79" t="s">
        <v>106</v>
      </c>
      <c r="B54" s="69"/>
      <c r="C54" s="69"/>
      <c r="D54" s="69"/>
      <c r="E54" s="69"/>
      <c r="F54" s="69"/>
    </row>
    <row r="55" spans="1:6" x14ac:dyDescent="0.25">
      <c r="A55" s="69" t="s">
        <v>107</v>
      </c>
      <c r="B55" s="69"/>
      <c r="C55" s="69"/>
      <c r="D55" s="69"/>
      <c r="E55" s="69"/>
      <c r="F55" s="69"/>
    </row>
    <row r="57" spans="1:6" x14ac:dyDescent="0.25">
      <c r="A57" s="7" t="s">
        <v>108</v>
      </c>
    </row>
    <row r="58" spans="1:6" ht="14.5" x14ac:dyDescent="0.3">
      <c r="A58" s="74" t="s">
        <v>109</v>
      </c>
      <c r="B58" s="69"/>
      <c r="C58" s="69"/>
      <c r="D58" s="69"/>
      <c r="E58" s="69"/>
      <c r="F58" s="69"/>
    </row>
    <row r="59" spans="1:6" ht="14.5" x14ac:dyDescent="0.3">
      <c r="A59" s="74" t="s">
        <v>110</v>
      </c>
      <c r="B59" s="69"/>
      <c r="C59" s="69"/>
      <c r="D59" s="69"/>
      <c r="E59" s="69"/>
      <c r="F59" s="69"/>
    </row>
    <row r="60" spans="1:6" ht="14.5" x14ac:dyDescent="0.3">
      <c r="A60" s="74" t="s">
        <v>111</v>
      </c>
      <c r="B60" s="69"/>
      <c r="C60" s="69"/>
      <c r="D60" s="69"/>
      <c r="E60" s="69"/>
      <c r="F60" s="69"/>
    </row>
    <row r="61" spans="1:6" ht="14.5" x14ac:dyDescent="0.3">
      <c r="A61" s="74" t="s">
        <v>112</v>
      </c>
      <c r="B61" s="69"/>
      <c r="C61" s="69"/>
      <c r="D61" s="69"/>
      <c r="E61" s="69"/>
      <c r="F61" s="69"/>
    </row>
    <row r="62" spans="1:6" ht="14.5" x14ac:dyDescent="0.3">
      <c r="A62" s="74" t="s">
        <v>113</v>
      </c>
      <c r="B62" s="69"/>
      <c r="C62" s="69"/>
      <c r="D62" s="69"/>
      <c r="E62" s="69"/>
      <c r="F62" s="69"/>
    </row>
  </sheetData>
  <mergeCells count="13">
    <mergeCell ref="A61:F61"/>
    <mergeCell ref="A58:F58"/>
    <mergeCell ref="A50:F50"/>
    <mergeCell ref="A2:J2"/>
    <mergeCell ref="A62:F62"/>
    <mergeCell ref="A53:F53"/>
    <mergeCell ref="A55:F55"/>
    <mergeCell ref="A59:F59"/>
    <mergeCell ref="A54:F54"/>
    <mergeCell ref="A1:J1"/>
    <mergeCell ref="A52:F52"/>
    <mergeCell ref="A51:F51"/>
    <mergeCell ref="A60:F60"/>
  </mergeCells>
  <phoneticPr fontId="2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52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649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43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x14ac:dyDescent="0.25">
      <c r="A3" s="11"/>
      <c r="B3" s="12" t="s">
        <v>46</v>
      </c>
      <c r="C3" s="12" t="s">
        <v>47</v>
      </c>
      <c r="D3" s="12" t="s">
        <v>48</v>
      </c>
      <c r="E3" s="11"/>
      <c r="F3" s="12" t="s">
        <v>49</v>
      </c>
      <c r="G3" s="12" t="s">
        <v>50</v>
      </c>
      <c r="H3" s="12" t="s">
        <v>51</v>
      </c>
      <c r="I3" s="11"/>
      <c r="J3" s="11"/>
      <c r="K3" s="12" t="s">
        <v>52</v>
      </c>
    </row>
    <row r="4" spans="1:11" x14ac:dyDescent="0.25">
      <c r="A4" s="7" t="s">
        <v>499</v>
      </c>
      <c r="K4" s="20" t="s">
        <v>650</v>
      </c>
    </row>
    <row r="5" spans="1:11" ht="15" x14ac:dyDescent="0.35">
      <c r="A5" s="9" t="s">
        <v>651</v>
      </c>
      <c r="B5" s="10"/>
      <c r="C5" s="10"/>
      <c r="D5" s="10"/>
      <c r="E5" s="10"/>
      <c r="F5" s="10"/>
      <c r="G5" s="10"/>
      <c r="H5" s="10"/>
      <c r="I5" s="10"/>
      <c r="J5" s="10"/>
    </row>
    <row r="6" spans="1:11" x14ac:dyDescent="0.25">
      <c r="A6" s="7" t="s">
        <v>572</v>
      </c>
      <c r="B6" s="17">
        <f>Consolidated_PL!B26</f>
        <v>1880</v>
      </c>
      <c r="C6" s="17">
        <f>Consolidated_PL!C26</f>
        <v>-19072</v>
      </c>
      <c r="D6" s="17">
        <f>Consolidated_PL!D26</f>
        <v>-593</v>
      </c>
      <c r="F6" s="17">
        <f>Consolidated_PL!F26</f>
        <v>1587.7928000000004</v>
      </c>
      <c r="G6" s="17">
        <f>Consolidated_PL!G26</f>
        <v>5438.674717500001</v>
      </c>
      <c r="H6" s="17">
        <f>Consolidated_PL!H26</f>
        <v>8905.6523400000005</v>
      </c>
      <c r="K6" s="20" t="s">
        <v>652</v>
      </c>
    </row>
    <row r="7" spans="1:11" x14ac:dyDescent="0.25">
      <c r="A7" s="7" t="s">
        <v>653</v>
      </c>
      <c r="B7" s="17">
        <f>Consolidated_PL!B32</f>
        <v>7847</v>
      </c>
      <c r="C7" s="17">
        <f>Consolidated_PL!C32</f>
        <v>9951</v>
      </c>
      <c r="D7" s="17">
        <f>Consolidated_PL!D32</f>
        <v>10757</v>
      </c>
      <c r="F7" s="17">
        <f>Consolidated_PL!F32</f>
        <v>12500</v>
      </c>
      <c r="G7" s="17">
        <f>Consolidated_PL!G32</f>
        <v>13200</v>
      </c>
      <c r="H7" s="17">
        <f>Consolidated_PL!H32</f>
        <v>13800</v>
      </c>
    </row>
    <row r="8" spans="1:11" x14ac:dyDescent="0.25">
      <c r="A8" s="7" t="s">
        <v>654</v>
      </c>
      <c r="B8" s="17">
        <f>Consolidated_PL!B33</f>
        <v>3229</v>
      </c>
      <c r="C8" s="17">
        <f>Consolidated_PL!C33</f>
        <v>3410</v>
      </c>
      <c r="D8" s="17">
        <f>Consolidated_PL!D33</f>
        <v>2434</v>
      </c>
      <c r="F8" s="17">
        <f>Consolidated_PL!F33</f>
        <v>2500</v>
      </c>
      <c r="G8" s="17">
        <f>Consolidated_PL!G33</f>
        <v>2500</v>
      </c>
      <c r="H8" s="17">
        <f>Consolidated_PL!H33</f>
        <v>2500</v>
      </c>
    </row>
    <row r="9" spans="1:11" x14ac:dyDescent="0.25">
      <c r="A9" s="7" t="s">
        <v>655</v>
      </c>
      <c r="B9" s="42">
        <v>-2033</v>
      </c>
      <c r="C9" s="42">
        <v>6132</v>
      </c>
      <c r="D9" s="42">
        <v>328</v>
      </c>
      <c r="F9" s="42">
        <v>0</v>
      </c>
      <c r="G9" s="42">
        <v>0</v>
      </c>
      <c r="H9" s="42">
        <v>0</v>
      </c>
      <c r="K9" s="20" t="s">
        <v>656</v>
      </c>
    </row>
    <row r="10" spans="1:11" x14ac:dyDescent="0.25">
      <c r="A10" s="7" t="s">
        <v>657</v>
      </c>
      <c r="B10" s="42">
        <v>6871</v>
      </c>
      <c r="C10" s="42">
        <v>11925</v>
      </c>
      <c r="D10" s="42">
        <v>-2958</v>
      </c>
      <c r="F10" s="42">
        <v>0</v>
      </c>
      <c r="G10" s="42">
        <v>0</v>
      </c>
      <c r="H10" s="42">
        <v>0</v>
      </c>
      <c r="K10" s="20" t="s">
        <v>658</v>
      </c>
    </row>
    <row r="12" spans="1:11" ht="15" x14ac:dyDescent="0.35">
      <c r="A12" s="9" t="s">
        <v>659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1" x14ac:dyDescent="0.25">
      <c r="A13" s="7" t="s">
        <v>660</v>
      </c>
      <c r="C13" s="49">
        <f>-(BS!C9-BS!B9)</f>
        <v>-76</v>
      </c>
      <c r="D13" s="49">
        <f>-(BS!D9-BS!C9)</f>
        <v>-361</v>
      </c>
      <c r="F13" s="49">
        <f>-(BS!F9-BS!D9)</f>
        <v>95.712328767123381</v>
      </c>
      <c r="G13" s="49">
        <f>-(BS!G9-BS!F9)</f>
        <v>-489.70890410958918</v>
      </c>
      <c r="H13" s="49">
        <f>-(BS!H9-BS!G9)</f>
        <v>-400.14726027397228</v>
      </c>
      <c r="K13" s="20" t="s">
        <v>661</v>
      </c>
    </row>
    <row r="14" spans="1:11" x14ac:dyDescent="0.25">
      <c r="A14" s="7" t="s">
        <v>662</v>
      </c>
      <c r="C14" s="49">
        <f>-(BS!C10-BS!B10)</f>
        <v>-1071</v>
      </c>
      <c r="D14" s="49">
        <f>-(BS!D10-BS!C10)</f>
        <v>580</v>
      </c>
      <c r="F14" s="49">
        <f>-(BS!F10-BS!D10)</f>
        <v>107.39041095890752</v>
      </c>
      <c r="G14" s="49">
        <f>-(BS!G10-BS!F10)</f>
        <v>-976.7303082191811</v>
      </c>
      <c r="H14" s="49">
        <f>-(BS!H10-BS!G10)</f>
        <v>-601.29143835616196</v>
      </c>
      <c r="K14" s="20" t="s">
        <v>663</v>
      </c>
    </row>
    <row r="15" spans="1:11" x14ac:dyDescent="0.25">
      <c r="A15" s="7" t="s">
        <v>664</v>
      </c>
      <c r="C15" s="49">
        <f>-(BS!C11-BS!B11)</f>
        <v>-5880</v>
      </c>
      <c r="D15" s="49">
        <f>-(BS!D11-BS!C11)</f>
        <v>-1229</v>
      </c>
      <c r="F15" s="49">
        <f>-(BS!F11-BS!D11)</f>
        <v>2617.2000000000007</v>
      </c>
      <c r="G15" s="49">
        <f>-(BS!G11-BS!F11)</f>
        <v>-1072.4624999999996</v>
      </c>
      <c r="H15" s="49">
        <f>-(BS!H11-BS!G11)</f>
        <v>-876.32250000000022</v>
      </c>
      <c r="K15" s="20" t="s">
        <v>665</v>
      </c>
    </row>
    <row r="16" spans="1:11" x14ac:dyDescent="0.25">
      <c r="A16" s="7" t="s">
        <v>666</v>
      </c>
      <c r="C16" s="49">
        <f>BS!C26-BS!B26</f>
        <v>3978</v>
      </c>
      <c r="D16" s="49">
        <f>BS!D26-BS!C26</f>
        <v>-2674</v>
      </c>
      <c r="F16" s="49">
        <f>BS!F26-BS!D26</f>
        <v>-673.51232876712493</v>
      </c>
      <c r="G16" s="49">
        <f>BS!G26-BS!F26</f>
        <v>781.38424657534415</v>
      </c>
      <c r="H16" s="49">
        <f>BS!H26-BS!G26</f>
        <v>481.03315068493066</v>
      </c>
      <c r="K16" s="20" t="s">
        <v>667</v>
      </c>
    </row>
    <row r="17" spans="1:11" x14ac:dyDescent="0.25">
      <c r="A17" s="7" t="s">
        <v>668</v>
      </c>
      <c r="C17" s="49">
        <f>BS!C27-BS!B27</f>
        <v>-312</v>
      </c>
      <c r="D17" s="49">
        <f>BS!D27-BS!C27</f>
        <v>647</v>
      </c>
      <c r="F17" s="49">
        <f>BS!F27-BS!D27</f>
        <v>-164.35999999999967</v>
      </c>
      <c r="G17" s="49">
        <f>BS!G27-BS!F27</f>
        <v>500.48250000000007</v>
      </c>
      <c r="H17" s="49">
        <f>BS!H27-BS!G27</f>
        <v>408.95049999999992</v>
      </c>
      <c r="K17" s="20" t="s">
        <v>669</v>
      </c>
    </row>
    <row r="18" spans="1:11" x14ac:dyDescent="0.25">
      <c r="A18" s="7" t="s">
        <v>670</v>
      </c>
      <c r="C18" s="49">
        <f>BS!C30-BS!B30</f>
        <v>1857</v>
      </c>
      <c r="D18" s="49">
        <f>BS!D30-BS!C30</f>
        <v>318</v>
      </c>
      <c r="F18" s="49">
        <f>BS!F30-BS!D30</f>
        <v>-937</v>
      </c>
      <c r="G18" s="49">
        <f>BS!G30-BS!F30</f>
        <v>1787.4375</v>
      </c>
      <c r="H18" s="49">
        <f>BS!H30-BS!G30</f>
        <v>1460.5374999999985</v>
      </c>
      <c r="K18" s="20" t="s">
        <v>671</v>
      </c>
    </row>
    <row r="19" spans="1:11" x14ac:dyDescent="0.25">
      <c r="A19" s="7" t="s">
        <v>672</v>
      </c>
      <c r="C19" s="49">
        <f>BS!C29-BS!B29</f>
        <v>649</v>
      </c>
      <c r="D19" s="49">
        <f>BS!D29-BS!C29</f>
        <v>-1152</v>
      </c>
      <c r="F19" s="49">
        <f>BS!F29-BS!D29</f>
        <v>489.03999999999996</v>
      </c>
      <c r="G19" s="49">
        <f>BS!G29-BS!F29</f>
        <v>142.99500000000012</v>
      </c>
      <c r="H19" s="49">
        <f>BS!H29-BS!G29</f>
        <v>116.84299999999985</v>
      </c>
      <c r="K19" s="20" t="s">
        <v>673</v>
      </c>
    </row>
    <row r="21" spans="1:11" x14ac:dyDescent="0.25">
      <c r="A21" s="18" t="s">
        <v>674</v>
      </c>
      <c r="B21" s="13">
        <f>B6+B7+B8+B17+B18+B13+B14+B15+B16+B17+B18+B19</f>
        <v>12956</v>
      </c>
      <c r="C21" s="13">
        <f>C6+C7+C8+C17+C18+C13+C14+C15+C16+C17+C18+C19</f>
        <v>-5021</v>
      </c>
      <c r="D21" s="13">
        <f>D6+D7+D8+D17+D18+D13+D14+D15+D16+D17+D18+D19</f>
        <v>9692</v>
      </c>
      <c r="F21" s="13">
        <f>F6+F7+F8+F17+F18+F13+F14+F15+F16+F17+F18+F19</f>
        <v>17020.90321095891</v>
      </c>
      <c r="G21" s="13">
        <f>G6+G7+G8+G17+G18+G13+G14+G15+G16+G17+G18+G19</f>
        <v>24099.992251746578</v>
      </c>
      <c r="H21" s="13">
        <f>H6+H7+H8+H17+H18+H13+H14+H15+H16+H17+H18+H19</f>
        <v>27664.743292054794</v>
      </c>
      <c r="K21" s="20" t="s">
        <v>675</v>
      </c>
    </row>
    <row r="23" spans="1:11" ht="15" x14ac:dyDescent="0.35">
      <c r="A23" s="9" t="s">
        <v>676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1" x14ac:dyDescent="0.25">
      <c r="A24" s="7" t="s">
        <v>677</v>
      </c>
      <c r="B24" s="42">
        <v>-25750</v>
      </c>
      <c r="C24" s="42">
        <v>-25122</v>
      </c>
      <c r="D24" s="42">
        <v>-17672</v>
      </c>
      <c r="F24" s="49">
        <f>-Assumptions!I126</f>
        <v>-17700</v>
      </c>
      <c r="G24" s="49">
        <f>-Assumptions!I127</f>
        <v>-19500</v>
      </c>
      <c r="H24" s="49">
        <f>-Assumptions!I128</f>
        <v>-21000</v>
      </c>
      <c r="K24" s="20" t="s">
        <v>678</v>
      </c>
    </row>
    <row r="25" spans="1:11" x14ac:dyDescent="0.25">
      <c r="A25" s="7" t="s">
        <v>679</v>
      </c>
      <c r="B25" s="14">
        <f>-B24/Consolidated_PL!B5</f>
        <v>0.4748469425389098</v>
      </c>
      <c r="C25" s="14">
        <f>-C24/Consolidated_PL!C5</f>
        <v>0.4730984350577202</v>
      </c>
      <c r="D25" s="14">
        <f>-D24/Consolidated_PL!D5</f>
        <v>0.33436134183490057</v>
      </c>
      <c r="F25" s="14">
        <f>-F24/Consolidated_PL!F5</f>
        <v>0.32386737905291663</v>
      </c>
      <c r="G25" s="14">
        <f>-G24/Consolidated_PL!G5</f>
        <v>0.31552504581180951</v>
      </c>
      <c r="H25" s="14">
        <f>-H24/Consolidated_PL!H5</f>
        <v>0.31044927924025673</v>
      </c>
    </row>
    <row r="26" spans="1:11" x14ac:dyDescent="0.25">
      <c r="A26" s="7" t="s">
        <v>680</v>
      </c>
      <c r="B26" s="42">
        <v>1546</v>
      </c>
      <c r="C26" s="42">
        <v>1581</v>
      </c>
      <c r="D26" s="42">
        <v>-1175</v>
      </c>
      <c r="F26" s="42">
        <v>0</v>
      </c>
      <c r="G26" s="42">
        <v>0</v>
      </c>
      <c r="H26" s="42">
        <v>0</v>
      </c>
      <c r="K26" s="20" t="s">
        <v>681</v>
      </c>
    </row>
    <row r="27" spans="1:11" x14ac:dyDescent="0.25">
      <c r="A27" s="18" t="s">
        <v>682</v>
      </c>
      <c r="B27" s="49">
        <f>B24+B26</f>
        <v>-24204</v>
      </c>
      <c r="C27" s="49">
        <f>C24+C26</f>
        <v>-23541</v>
      </c>
      <c r="D27" s="49">
        <f>D24+D26</f>
        <v>-18847</v>
      </c>
      <c r="F27" s="49">
        <f>F24+F26</f>
        <v>-17700</v>
      </c>
      <c r="G27" s="49">
        <f>G24+G26</f>
        <v>-19500</v>
      </c>
      <c r="H27" s="49">
        <f>H24+H26</f>
        <v>-21000</v>
      </c>
    </row>
    <row r="28" spans="1:11" x14ac:dyDescent="0.25">
      <c r="A28" s="18" t="s">
        <v>683</v>
      </c>
      <c r="B28" s="13">
        <f>B21+B27</f>
        <v>-11248</v>
      </c>
      <c r="C28" s="13">
        <f>C21+C27</f>
        <v>-28562</v>
      </c>
      <c r="D28" s="13">
        <f>D21+D27</f>
        <v>-9155</v>
      </c>
      <c r="F28" s="13">
        <f>F21+F27</f>
        <v>-679.09678904109023</v>
      </c>
      <c r="G28" s="13">
        <f>G21+G27</f>
        <v>4599.9922517465784</v>
      </c>
      <c r="H28" s="13">
        <f>H21+H27</f>
        <v>6664.7432920547944</v>
      </c>
      <c r="K28" s="20" t="s">
        <v>684</v>
      </c>
    </row>
    <row r="29" spans="1:11" x14ac:dyDescent="0.25">
      <c r="A29" s="7" t="s">
        <v>685</v>
      </c>
      <c r="B29" s="14">
        <f>B28/Consolidated_PL!B5</f>
        <v>-0.20742052076418085</v>
      </c>
      <c r="C29" s="14">
        <f>C28/Consolidated_PL!C5</f>
        <v>-0.5378806425491045</v>
      </c>
      <c r="D29" s="14">
        <f>D28/Consolidated_PL!D5</f>
        <v>-0.17321627911376838</v>
      </c>
      <c r="F29" s="14">
        <f>F28/Consolidated_PL!F5</f>
        <v>-1.2425835999434426E-2</v>
      </c>
      <c r="G29" s="14">
        <f>G28/Consolidated_PL!G5</f>
        <v>7.4431423895708101E-2</v>
      </c>
      <c r="H29" s="14">
        <f>H28/Consolidated_PL!H5</f>
        <v>9.8526892920940315E-2</v>
      </c>
    </row>
    <row r="31" spans="1:11" ht="15" x14ac:dyDescent="0.35">
      <c r="A31" s="9" t="s">
        <v>686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1" x14ac:dyDescent="0.25">
      <c r="A32" s="7" t="s">
        <v>687</v>
      </c>
      <c r="B32" s="42">
        <v>11453</v>
      </c>
      <c r="C32" s="42">
        <v>-462</v>
      </c>
      <c r="D32" s="42">
        <v>-2757</v>
      </c>
      <c r="F32" s="49">
        <f>Assumptions!I131-(BS!D34+BS!D28)</f>
        <v>2915</v>
      </c>
      <c r="G32" s="49">
        <f>Assumptions!I132-Assumptions!I131</f>
        <v>-2300</v>
      </c>
      <c r="H32" s="49">
        <f>Assumptions!I133-Assumptions!I132</f>
        <v>-1200</v>
      </c>
      <c r="K32" s="20" t="s">
        <v>688</v>
      </c>
    </row>
    <row r="33" spans="1:11" x14ac:dyDescent="0.25">
      <c r="A33" s="7" t="s">
        <v>689</v>
      </c>
      <c r="B33" s="42">
        <v>2567</v>
      </c>
      <c r="C33" s="42">
        <v>356</v>
      </c>
      <c r="D33" s="42">
        <v>18586</v>
      </c>
      <c r="F33" s="17">
        <f>Assumptions!I140</f>
        <v>300</v>
      </c>
      <c r="G33" s="17">
        <f>Assumptions!I140</f>
        <v>300</v>
      </c>
      <c r="H33" s="17">
        <f>Assumptions!I140</f>
        <v>300</v>
      </c>
      <c r="K33" s="20" t="s">
        <v>690</v>
      </c>
    </row>
    <row r="34" spans="1:11" x14ac:dyDescent="0.25">
      <c r="A34" s="7" t="s">
        <v>691</v>
      </c>
      <c r="B34" s="42">
        <v>-3088</v>
      </c>
      <c r="C34" s="42">
        <v>-1599</v>
      </c>
      <c r="D34" s="42">
        <v>0</v>
      </c>
      <c r="F34" s="49">
        <f>-Assumptions!I139*Assumptions!I135</f>
        <v>0</v>
      </c>
      <c r="G34" s="49">
        <f>-Assumptions!I139*Assumptions!I135</f>
        <v>0</v>
      </c>
      <c r="H34" s="49">
        <f>-Assumptions!I139*Assumptions!I135</f>
        <v>0</v>
      </c>
      <c r="K34" s="20" t="s">
        <v>692</v>
      </c>
    </row>
    <row r="35" spans="1:11" x14ac:dyDescent="0.25">
      <c r="A35" s="7" t="s">
        <v>693</v>
      </c>
      <c r="B35" s="42">
        <v>3696</v>
      </c>
      <c r="C35" s="42">
        <v>12471</v>
      </c>
      <c r="D35" s="42">
        <v>1827</v>
      </c>
      <c r="F35" s="42">
        <v>500</v>
      </c>
      <c r="G35" s="42">
        <v>500</v>
      </c>
      <c r="H35" s="42">
        <v>500</v>
      </c>
      <c r="K35" s="20" t="s">
        <v>694</v>
      </c>
    </row>
    <row r="36" spans="1:11" x14ac:dyDescent="0.25">
      <c r="A36" s="18" t="s">
        <v>695</v>
      </c>
      <c r="B36" s="49">
        <f>B32+B33+B34+B35</f>
        <v>14628</v>
      </c>
      <c r="C36" s="49">
        <f>C32+C33+C34+C35</f>
        <v>10766</v>
      </c>
      <c r="D36" s="49">
        <f>D32+D33+D34+D35</f>
        <v>17656</v>
      </c>
      <c r="F36" s="49">
        <f>F32+F33+F34+F35</f>
        <v>3715</v>
      </c>
      <c r="G36" s="49">
        <f>G32+G33+G34+G35</f>
        <v>-1500</v>
      </c>
      <c r="H36" s="49">
        <f>H32+H33+H34+H35</f>
        <v>-400</v>
      </c>
    </row>
    <row r="37" spans="1:11" x14ac:dyDescent="0.25">
      <c r="A37" s="18" t="s">
        <v>696</v>
      </c>
      <c r="B37" s="13">
        <f>B21+B27+B36</f>
        <v>3380</v>
      </c>
      <c r="C37" s="13">
        <f>C21+C27+C36</f>
        <v>-17796</v>
      </c>
      <c r="D37" s="13">
        <f>D21+D27+D36</f>
        <v>8501</v>
      </c>
      <c r="F37" s="13">
        <f>F21+F27+F36</f>
        <v>3035.9032109589098</v>
      </c>
      <c r="G37" s="13">
        <f>G21+G27+G36</f>
        <v>3099.9922517465784</v>
      </c>
      <c r="H37" s="13">
        <f>H21+H27+H36</f>
        <v>6264.7432920547944</v>
      </c>
      <c r="K37" s="20" t="s">
        <v>697</v>
      </c>
    </row>
    <row r="39" spans="1:11" x14ac:dyDescent="0.25">
      <c r="A39" s="7" t="s">
        <v>101</v>
      </c>
    </row>
    <row r="40" spans="1:11" ht="14.5" x14ac:dyDescent="0.3">
      <c r="A40" s="80" t="s">
        <v>102</v>
      </c>
      <c r="B40" s="69"/>
      <c r="C40" s="69"/>
      <c r="D40" s="69"/>
      <c r="E40" s="69"/>
      <c r="F40" s="69"/>
    </row>
    <row r="41" spans="1:11" ht="14.5" x14ac:dyDescent="0.3">
      <c r="A41" s="76" t="s">
        <v>103</v>
      </c>
      <c r="B41" s="69"/>
      <c r="C41" s="69"/>
      <c r="D41" s="69"/>
      <c r="E41" s="69"/>
      <c r="F41" s="69"/>
    </row>
    <row r="42" spans="1:11" ht="14.5" x14ac:dyDescent="0.3">
      <c r="A42" s="78" t="s">
        <v>104</v>
      </c>
      <c r="B42" s="69"/>
      <c r="C42" s="69"/>
      <c r="D42" s="69"/>
      <c r="E42" s="69"/>
      <c r="F42" s="69"/>
    </row>
    <row r="43" spans="1:11" ht="14.5" x14ac:dyDescent="0.3">
      <c r="A43" s="79" t="s">
        <v>105</v>
      </c>
      <c r="B43" s="69"/>
      <c r="C43" s="69"/>
      <c r="D43" s="69"/>
      <c r="E43" s="69"/>
      <c r="F43" s="69"/>
    </row>
    <row r="44" spans="1:11" ht="14.5" x14ac:dyDescent="0.3">
      <c r="A44" s="79" t="s">
        <v>106</v>
      </c>
      <c r="B44" s="69"/>
      <c r="C44" s="69"/>
      <c r="D44" s="69"/>
      <c r="E44" s="69"/>
      <c r="F44" s="69"/>
    </row>
    <row r="45" spans="1:11" x14ac:dyDescent="0.25">
      <c r="A45" s="69" t="s">
        <v>107</v>
      </c>
      <c r="B45" s="69"/>
      <c r="C45" s="69"/>
      <c r="D45" s="69"/>
      <c r="E45" s="69"/>
      <c r="F45" s="69"/>
    </row>
    <row r="47" spans="1:11" x14ac:dyDescent="0.25">
      <c r="A47" s="7" t="s">
        <v>108</v>
      </c>
    </row>
    <row r="48" spans="1:11" ht="14.5" x14ac:dyDescent="0.3">
      <c r="A48" s="74" t="s">
        <v>109</v>
      </c>
      <c r="B48" s="69"/>
      <c r="C48" s="69"/>
      <c r="D48" s="69"/>
      <c r="E48" s="69"/>
      <c r="F48" s="69"/>
    </row>
    <row r="49" spans="1:6" ht="14.5" x14ac:dyDescent="0.3">
      <c r="A49" s="74" t="s">
        <v>110</v>
      </c>
      <c r="B49" s="69"/>
      <c r="C49" s="69"/>
      <c r="D49" s="69"/>
      <c r="E49" s="69"/>
      <c r="F49" s="69"/>
    </row>
    <row r="50" spans="1:6" ht="14.5" x14ac:dyDescent="0.3">
      <c r="A50" s="74" t="s">
        <v>111</v>
      </c>
      <c r="B50" s="69"/>
      <c r="C50" s="69"/>
      <c r="D50" s="69"/>
      <c r="E50" s="69"/>
      <c r="F50" s="69"/>
    </row>
    <row r="51" spans="1:6" ht="14.5" x14ac:dyDescent="0.3">
      <c r="A51" s="74" t="s">
        <v>112</v>
      </c>
      <c r="B51" s="69"/>
      <c r="C51" s="69"/>
      <c r="D51" s="69"/>
      <c r="E51" s="69"/>
      <c r="F51" s="69"/>
    </row>
    <row r="52" spans="1:6" ht="14.5" x14ac:dyDescent="0.3">
      <c r="A52" s="74" t="s">
        <v>113</v>
      </c>
      <c r="B52" s="69"/>
      <c r="C52" s="69"/>
      <c r="D52" s="69"/>
      <c r="E52" s="69"/>
      <c r="F52" s="69"/>
    </row>
  </sheetData>
  <mergeCells count="13">
    <mergeCell ref="A52:F52"/>
    <mergeCell ref="A44:F44"/>
    <mergeCell ref="A45:F45"/>
    <mergeCell ref="A40:F40"/>
    <mergeCell ref="A50:F50"/>
    <mergeCell ref="A48:F48"/>
    <mergeCell ref="A43:F43"/>
    <mergeCell ref="A41:F41"/>
    <mergeCell ref="A1:J1"/>
    <mergeCell ref="A49:F49"/>
    <mergeCell ref="A51:F51"/>
    <mergeCell ref="A42:F42"/>
    <mergeCell ref="A2:J2"/>
  </mergeCells>
  <phoneticPr fontId="2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CC"/>
  </sheetPr>
  <dimension ref="A1:K63"/>
  <sheetViews>
    <sheetView tabSelected="1" topLeftCell="A10" workbookViewId="0">
      <selection activeCell="I25" sqref="I25"/>
    </sheetView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698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699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x14ac:dyDescent="0.25">
      <c r="F3" s="12" t="s">
        <v>700</v>
      </c>
      <c r="G3" s="12" t="s">
        <v>701</v>
      </c>
      <c r="H3" s="12" t="s">
        <v>702</v>
      </c>
    </row>
    <row r="4" spans="1:11" x14ac:dyDescent="0.25">
      <c r="A4" s="7" t="s">
        <v>703</v>
      </c>
      <c r="K4" s="20" t="s">
        <v>704</v>
      </c>
    </row>
    <row r="5" spans="1:11" x14ac:dyDescent="0.25">
      <c r="A5" s="7" t="s">
        <v>705</v>
      </c>
      <c r="B5" s="17">
        <f>Consolidated_PL!B17</f>
        <v>298</v>
      </c>
      <c r="C5" s="17">
        <f>Consolidated_PL!C17</f>
        <v>-11517</v>
      </c>
      <c r="D5" s="17">
        <f>Consolidated_PL!D17</f>
        <v>-2833</v>
      </c>
      <c r="F5" s="17">
        <f>Consolidated_PL!F17</f>
        <v>2604.3100000000004</v>
      </c>
      <c r="G5" s="17">
        <f>Consolidated_PL!G17</f>
        <v>6851.3502500000013</v>
      </c>
      <c r="H5" s="17">
        <f>Consolidated_PL!H17</f>
        <v>10636.382000000001</v>
      </c>
      <c r="K5" s="20" t="s">
        <v>706</v>
      </c>
    </row>
    <row r="6" spans="1:11" x14ac:dyDescent="0.25">
      <c r="A6" s="7" t="s">
        <v>707</v>
      </c>
      <c r="B6" s="42">
        <v>0</v>
      </c>
      <c r="C6" s="42">
        <v>0</v>
      </c>
      <c r="D6" s="42">
        <v>0</v>
      </c>
      <c r="F6" s="49">
        <f>F5*Assumptions!I143</f>
        <v>312.51720000000006</v>
      </c>
      <c r="G6" s="49">
        <f>G5*Assumptions!I144</f>
        <v>890.67553250000026</v>
      </c>
      <c r="H6" s="49">
        <f>H5*Assumptions!I145</f>
        <v>1382.7296600000002</v>
      </c>
      <c r="K6" s="20" t="s">
        <v>708</v>
      </c>
    </row>
    <row r="7" spans="1:11" x14ac:dyDescent="0.25">
      <c r="A7" s="7" t="s">
        <v>709</v>
      </c>
      <c r="B7" s="49">
        <f>B5-B6</f>
        <v>298</v>
      </c>
      <c r="C7" s="49">
        <f>C5-C6</f>
        <v>-11517</v>
      </c>
      <c r="D7" s="49">
        <f>D5-D6</f>
        <v>-2833</v>
      </c>
      <c r="F7" s="49">
        <f>F5-F6</f>
        <v>2291.7928000000002</v>
      </c>
      <c r="G7" s="49">
        <f>G5-G6</f>
        <v>5960.674717500001</v>
      </c>
      <c r="H7" s="49">
        <f>H5-H6</f>
        <v>9253.6523400000005</v>
      </c>
      <c r="K7" s="20" t="s">
        <v>710</v>
      </c>
    </row>
    <row r="8" spans="1:11" x14ac:dyDescent="0.25">
      <c r="A8" s="7" t="s">
        <v>711</v>
      </c>
      <c r="B8" s="17">
        <f>Consolidated_PL!B32</f>
        <v>7847</v>
      </c>
      <c r="C8" s="17">
        <f>Consolidated_PL!C32</f>
        <v>9951</v>
      </c>
      <c r="D8" s="17">
        <f>Consolidated_PL!D32</f>
        <v>10757</v>
      </c>
      <c r="F8" s="17">
        <f>Consolidated_PL!F32</f>
        <v>12500</v>
      </c>
      <c r="G8" s="17">
        <f>Consolidated_PL!G32</f>
        <v>13200</v>
      </c>
      <c r="H8" s="17">
        <f>Consolidated_PL!H32</f>
        <v>13800</v>
      </c>
    </row>
    <row r="9" spans="1:11" x14ac:dyDescent="0.25">
      <c r="A9" s="7" t="s">
        <v>712</v>
      </c>
      <c r="B9" s="42">
        <v>0</v>
      </c>
      <c r="C9" s="42">
        <v>0</v>
      </c>
      <c r="D9" s="42">
        <v>0</v>
      </c>
      <c r="F9" s="49">
        <f>-Assumptions!I126</f>
        <v>-17700</v>
      </c>
      <c r="G9" s="49">
        <f>-Assumptions!I127</f>
        <v>-19500</v>
      </c>
      <c r="H9" s="49">
        <f>-Assumptions!I128</f>
        <v>-21000</v>
      </c>
      <c r="K9" s="20" t="s">
        <v>678</v>
      </c>
    </row>
    <row r="10" spans="1:11" ht="24" x14ac:dyDescent="0.25">
      <c r="A10" s="7" t="s">
        <v>713</v>
      </c>
      <c r="B10" s="42">
        <v>0</v>
      </c>
      <c r="C10" s="42">
        <v>0</v>
      </c>
      <c r="D10" s="42">
        <v>0</v>
      </c>
      <c r="F10" s="49">
        <f>-(Consolidated_PL!F5-Consolidated_PL!D5)*0.1</f>
        <v>-179.9</v>
      </c>
      <c r="G10" s="49">
        <f>-(Consolidated_PL!G5-Consolidated_PL!F5)*0.1</f>
        <v>-714.97500000000002</v>
      </c>
      <c r="H10" s="49">
        <f>-(Consolidated_PL!H5-Consolidated_PL!G5)*0.1</f>
        <v>-584.21499999999946</v>
      </c>
      <c r="K10" s="20" t="s">
        <v>714</v>
      </c>
    </row>
    <row r="11" spans="1:11" x14ac:dyDescent="0.25">
      <c r="A11" s="18" t="s">
        <v>715</v>
      </c>
      <c r="B11" s="13">
        <f>B7+B8+B9+B10</f>
        <v>8145</v>
      </c>
      <c r="C11" s="13">
        <f>C7+C8+C9+C10</f>
        <v>-1566</v>
      </c>
      <c r="D11" s="13">
        <f>D7+D8+D9+D10</f>
        <v>7924</v>
      </c>
      <c r="F11" s="13">
        <f>F7+F8+F9+F10</f>
        <v>-3088.1072000000008</v>
      </c>
      <c r="G11" s="13">
        <f>G7+G8+G9+G10</f>
        <v>-1054.300282499998</v>
      </c>
      <c r="H11" s="13">
        <f>H7+H8+H9+H10</f>
        <v>1469.4373400000011</v>
      </c>
      <c r="K11" s="20" t="s">
        <v>716</v>
      </c>
    </row>
    <row r="12" spans="1:11" x14ac:dyDescent="0.25">
      <c r="A12" s="7" t="s">
        <v>717</v>
      </c>
      <c r="F12" s="56">
        <f>1/(1+Assumptions!I18)^1</f>
        <v>0.9036484807409918</v>
      </c>
      <c r="G12" s="56">
        <f>1/(1+Assumptions!I18)^2</f>
        <v>0.81658057674550255</v>
      </c>
      <c r="H12" s="56">
        <f>1/(1+Assumptions!I18)^3</f>
        <v>0.73790179757867624</v>
      </c>
      <c r="K12" s="20" t="s">
        <v>718</v>
      </c>
    </row>
    <row r="13" spans="1:11" x14ac:dyDescent="0.25">
      <c r="A13" s="7" t="s">
        <v>719</v>
      </c>
      <c r="F13" s="49">
        <f>F11*F12</f>
        <v>-2790.5633796453189</v>
      </c>
      <c r="G13" s="49">
        <f>G11*G12</f>
        <v>-860.92113274679468</v>
      </c>
      <c r="H13" s="49">
        <f>H11*H12</f>
        <v>1084.3004546152292</v>
      </c>
      <c r="K13" s="20" t="s">
        <v>720</v>
      </c>
    </row>
    <row r="15" spans="1:11" ht="15" x14ac:dyDescent="0.35">
      <c r="A15" s="9" t="s">
        <v>721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1" x14ac:dyDescent="0.25">
      <c r="A16" s="7" t="s">
        <v>722</v>
      </c>
      <c r="H16" s="49">
        <f>H11</f>
        <v>1469.4373400000011</v>
      </c>
      <c r="K16" s="20" t="s">
        <v>723</v>
      </c>
    </row>
    <row r="17" spans="1:11" x14ac:dyDescent="0.25">
      <c r="A17" s="7" t="s">
        <v>131</v>
      </c>
      <c r="H17" s="57">
        <f>Assumptions!I13</f>
        <v>2.5000000000000001E-2</v>
      </c>
      <c r="K17" s="20" t="s">
        <v>724</v>
      </c>
    </row>
    <row r="18" spans="1:11" x14ac:dyDescent="0.25">
      <c r="A18" s="7" t="s">
        <v>725</v>
      </c>
      <c r="H18" s="49">
        <f>H11*(1+H17)/(Assumptions!I18-H17)</f>
        <v>18452.352508422675</v>
      </c>
      <c r="K18" s="20" t="s">
        <v>726</v>
      </c>
    </row>
    <row r="19" spans="1:11" x14ac:dyDescent="0.25">
      <c r="A19" s="7" t="s">
        <v>727</v>
      </c>
      <c r="H19" s="49">
        <f>H18*H12</f>
        <v>13616.024085520488</v>
      </c>
      <c r="K19" s="20" t="s">
        <v>728</v>
      </c>
    </row>
    <row r="21" spans="1:11" ht="15" x14ac:dyDescent="0.35">
      <c r="A21" s="9" t="s">
        <v>729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1" x14ac:dyDescent="0.25">
      <c r="A22" s="7" t="s">
        <v>730</v>
      </c>
      <c r="H22" s="49">
        <f>F13+G13+H13</f>
        <v>-2567.1840577768844</v>
      </c>
      <c r="K22" s="20" t="s">
        <v>731</v>
      </c>
    </row>
    <row r="23" spans="1:11" x14ac:dyDescent="0.25">
      <c r="A23" s="7" t="s">
        <v>732</v>
      </c>
      <c r="H23" s="49">
        <f>H19</f>
        <v>13616.024085520488</v>
      </c>
    </row>
    <row r="24" spans="1:11" x14ac:dyDescent="0.25">
      <c r="A24" s="18" t="s">
        <v>733</v>
      </c>
      <c r="H24" s="13">
        <f>H22+H23</f>
        <v>11048.840027743605</v>
      </c>
      <c r="K24" s="20" t="s">
        <v>734</v>
      </c>
    </row>
    <row r="25" spans="1:11" x14ac:dyDescent="0.25">
      <c r="A25" s="7" t="s">
        <v>735</v>
      </c>
      <c r="H25" s="14">
        <f>H18/H24</f>
        <v>1.6700714701352244</v>
      </c>
    </row>
    <row r="27" spans="1:11" ht="15" x14ac:dyDescent="0.35">
      <c r="A27" s="9" t="s">
        <v>736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1" x14ac:dyDescent="0.25">
      <c r="A28" s="7" t="s">
        <v>737</v>
      </c>
      <c r="H28" s="49">
        <f>H24</f>
        <v>11048.840027743605</v>
      </c>
    </row>
    <row r="29" spans="1:11" x14ac:dyDescent="0.25">
      <c r="A29" s="7" t="s">
        <v>738</v>
      </c>
      <c r="H29" s="17">
        <f>BS!H7</f>
        <v>25995.590754760276</v>
      </c>
      <c r="K29" s="20" t="s">
        <v>739</v>
      </c>
    </row>
    <row r="30" spans="1:11" x14ac:dyDescent="0.25">
      <c r="A30" s="7" t="s">
        <v>740</v>
      </c>
      <c r="H30" s="17">
        <f>BS!H8</f>
        <v>24000</v>
      </c>
      <c r="K30" s="20" t="s">
        <v>741</v>
      </c>
    </row>
    <row r="31" spans="1:11" x14ac:dyDescent="0.25">
      <c r="A31" s="7" t="s">
        <v>742</v>
      </c>
      <c r="H31" s="17">
        <f>BS!H34+BS!H28</f>
        <v>46000</v>
      </c>
      <c r="K31" s="20" t="s">
        <v>743</v>
      </c>
    </row>
    <row r="32" spans="1:11" x14ac:dyDescent="0.25">
      <c r="A32" s="7" t="s">
        <v>744</v>
      </c>
      <c r="H32" s="17">
        <f>BS!H41</f>
        <v>14129</v>
      </c>
      <c r="K32" s="20" t="s">
        <v>745</v>
      </c>
    </row>
    <row r="33" spans="1:11" x14ac:dyDescent="0.25">
      <c r="A33" s="18" t="s">
        <v>746</v>
      </c>
      <c r="H33" s="13">
        <f>H28+H29+H30-H31-H32</f>
        <v>915.43078250388498</v>
      </c>
      <c r="K33" s="20" t="s">
        <v>747</v>
      </c>
    </row>
    <row r="34" spans="1:11" x14ac:dyDescent="0.25">
      <c r="A34" s="7" t="s">
        <v>584</v>
      </c>
      <c r="H34" s="17">
        <f>Consolidated_PL!H34</f>
        <v>5250</v>
      </c>
      <c r="K34" s="20" t="s">
        <v>748</v>
      </c>
    </row>
    <row r="35" spans="1:11" x14ac:dyDescent="0.25">
      <c r="A35" s="18" t="s">
        <v>749</v>
      </c>
      <c r="H35" s="58">
        <f>H33/H34</f>
        <v>0.17436776809597809</v>
      </c>
      <c r="K35" s="20" t="s">
        <v>750</v>
      </c>
    </row>
    <row r="37" spans="1:11" ht="15" x14ac:dyDescent="0.35">
      <c r="A37" s="9" t="s">
        <v>751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1" x14ac:dyDescent="0.25">
      <c r="A38" s="7" t="s">
        <v>752</v>
      </c>
      <c r="H38" s="59">
        <f>Assumptions!I18</f>
        <v>0.106625</v>
      </c>
    </row>
    <row r="39" spans="1:11" x14ac:dyDescent="0.25">
      <c r="A39" s="7" t="s">
        <v>753</v>
      </c>
      <c r="H39" s="59">
        <f>Assumptions!I13</f>
        <v>2.5000000000000001E-2</v>
      </c>
    </row>
    <row r="40" spans="1:11" x14ac:dyDescent="0.25">
      <c r="A40" s="7" t="s">
        <v>754</v>
      </c>
      <c r="H40" s="13">
        <f>H22</f>
        <v>-2567.1840577768844</v>
      </c>
    </row>
    <row r="41" spans="1:11" x14ac:dyDescent="0.25">
      <c r="A41" s="7" t="s">
        <v>755</v>
      </c>
      <c r="H41" s="13">
        <f>H23</f>
        <v>13616.024085520488</v>
      </c>
    </row>
    <row r="42" spans="1:11" x14ac:dyDescent="0.25">
      <c r="A42" s="7" t="s">
        <v>756</v>
      </c>
      <c r="H42" s="15">
        <f>H23/H24</f>
        <v>1.2323487398976447</v>
      </c>
    </row>
    <row r="43" spans="1:11" x14ac:dyDescent="0.25">
      <c r="A43" s="7" t="s">
        <v>757</v>
      </c>
      <c r="H43" s="13">
        <f>H24</f>
        <v>11048.840027743605</v>
      </c>
    </row>
    <row r="44" spans="1:11" x14ac:dyDescent="0.25">
      <c r="A44" s="7" t="s">
        <v>758</v>
      </c>
      <c r="H44" s="13">
        <f>H29+H30</f>
        <v>49995.590754760276</v>
      </c>
    </row>
    <row r="45" spans="1:11" x14ac:dyDescent="0.25">
      <c r="A45" s="7" t="s">
        <v>759</v>
      </c>
      <c r="H45" s="13">
        <f>H31</f>
        <v>46000</v>
      </c>
    </row>
    <row r="46" spans="1:11" x14ac:dyDescent="0.25">
      <c r="A46" s="7" t="s">
        <v>760</v>
      </c>
      <c r="H46" s="13">
        <f>H32</f>
        <v>14129</v>
      </c>
    </row>
    <row r="47" spans="1:11" x14ac:dyDescent="0.25">
      <c r="A47" s="7" t="s">
        <v>761</v>
      </c>
      <c r="H47" s="13">
        <f>H33</f>
        <v>915.43078250388498</v>
      </c>
    </row>
    <row r="48" spans="1:11" x14ac:dyDescent="0.25">
      <c r="A48" s="7" t="s">
        <v>762</v>
      </c>
      <c r="H48" s="58">
        <f>H35</f>
        <v>0.17436776809597809</v>
      </c>
    </row>
    <row r="50" spans="1:6" x14ac:dyDescent="0.25">
      <c r="A50" s="7" t="s">
        <v>101</v>
      </c>
    </row>
    <row r="51" spans="1:6" ht="14.5" x14ac:dyDescent="0.3">
      <c r="A51" s="80" t="s">
        <v>102</v>
      </c>
      <c r="B51" s="69"/>
      <c r="C51" s="69"/>
      <c r="D51" s="69"/>
      <c r="E51" s="69"/>
      <c r="F51" s="69"/>
    </row>
    <row r="52" spans="1:6" ht="14.5" x14ac:dyDescent="0.3">
      <c r="A52" s="76" t="s">
        <v>103</v>
      </c>
      <c r="B52" s="69"/>
      <c r="C52" s="69"/>
      <c r="D52" s="69"/>
      <c r="E52" s="69"/>
      <c r="F52" s="69"/>
    </row>
    <row r="53" spans="1:6" ht="14.5" x14ac:dyDescent="0.3">
      <c r="A53" s="78" t="s">
        <v>104</v>
      </c>
      <c r="B53" s="69"/>
      <c r="C53" s="69"/>
      <c r="D53" s="69"/>
      <c r="E53" s="69"/>
      <c r="F53" s="69"/>
    </row>
    <row r="54" spans="1:6" ht="14.5" x14ac:dyDescent="0.3">
      <c r="A54" s="79" t="s">
        <v>105</v>
      </c>
      <c r="B54" s="69"/>
      <c r="C54" s="69"/>
      <c r="D54" s="69"/>
      <c r="E54" s="69"/>
      <c r="F54" s="69"/>
    </row>
    <row r="55" spans="1:6" ht="14.5" x14ac:dyDescent="0.3">
      <c r="A55" s="79" t="s">
        <v>106</v>
      </c>
      <c r="B55" s="69"/>
      <c r="C55" s="69"/>
      <c r="D55" s="69"/>
      <c r="E55" s="69"/>
      <c r="F55" s="69"/>
    </row>
    <row r="56" spans="1:6" x14ac:dyDescent="0.25">
      <c r="A56" s="69" t="s">
        <v>107</v>
      </c>
      <c r="B56" s="69"/>
      <c r="C56" s="69"/>
      <c r="D56" s="69"/>
      <c r="E56" s="69"/>
      <c r="F56" s="69"/>
    </row>
    <row r="58" spans="1:6" x14ac:dyDescent="0.25">
      <c r="A58" s="7" t="s">
        <v>108</v>
      </c>
    </row>
    <row r="59" spans="1:6" ht="14.5" x14ac:dyDescent="0.3">
      <c r="A59" s="74" t="s">
        <v>109</v>
      </c>
      <c r="B59" s="69"/>
      <c r="C59" s="69"/>
      <c r="D59" s="69"/>
      <c r="E59" s="69"/>
      <c r="F59" s="69"/>
    </row>
    <row r="60" spans="1:6" ht="14.5" x14ac:dyDescent="0.3">
      <c r="A60" s="74" t="s">
        <v>110</v>
      </c>
      <c r="B60" s="69"/>
      <c r="C60" s="69"/>
      <c r="D60" s="69"/>
      <c r="E60" s="69"/>
      <c r="F60" s="69"/>
    </row>
    <row r="61" spans="1:6" ht="14.5" x14ac:dyDescent="0.3">
      <c r="A61" s="74" t="s">
        <v>111</v>
      </c>
      <c r="B61" s="69"/>
      <c r="C61" s="69"/>
      <c r="D61" s="69"/>
      <c r="E61" s="69"/>
      <c r="F61" s="69"/>
    </row>
    <row r="62" spans="1:6" ht="14.5" x14ac:dyDescent="0.3">
      <c r="A62" s="74" t="s">
        <v>112</v>
      </c>
      <c r="B62" s="69"/>
      <c r="C62" s="69"/>
      <c r="D62" s="69"/>
      <c r="E62" s="69"/>
      <c r="F62" s="69"/>
    </row>
    <row r="63" spans="1:6" ht="14.5" x14ac:dyDescent="0.3">
      <c r="A63" s="74" t="s">
        <v>113</v>
      </c>
      <c r="B63" s="69"/>
      <c r="C63" s="69"/>
      <c r="D63" s="69"/>
      <c r="E63" s="69"/>
      <c r="F63" s="69"/>
    </row>
  </sheetData>
  <mergeCells count="13">
    <mergeCell ref="A54:F54"/>
    <mergeCell ref="A1:J1"/>
    <mergeCell ref="A52:F52"/>
    <mergeCell ref="A51:F51"/>
    <mergeCell ref="A63:F63"/>
    <mergeCell ref="A60:F60"/>
    <mergeCell ref="A61:F61"/>
    <mergeCell ref="A56:F56"/>
    <mergeCell ref="A2:J2"/>
    <mergeCell ref="A62:F62"/>
    <mergeCell ref="A53:F53"/>
    <mergeCell ref="A55:F55"/>
    <mergeCell ref="A59:F59"/>
  </mergeCells>
  <phoneticPr fontId="2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20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763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764</v>
      </c>
      <c r="B2" s="69"/>
      <c r="C2" s="69"/>
      <c r="D2" s="69"/>
      <c r="E2" s="69"/>
      <c r="F2" s="69"/>
      <c r="G2" s="69"/>
      <c r="H2" s="69"/>
      <c r="I2" s="69"/>
      <c r="J2" s="69"/>
    </row>
    <row r="4" spans="1:11" x14ac:dyDescent="0.25">
      <c r="A4" s="81" t="s">
        <v>765</v>
      </c>
      <c r="B4" s="82"/>
      <c r="C4" s="82"/>
      <c r="D4" s="82"/>
      <c r="E4" s="82"/>
      <c r="F4" s="82"/>
      <c r="G4" s="82"/>
      <c r="H4" s="83"/>
    </row>
    <row r="6" spans="1:11" x14ac:dyDescent="0.25">
      <c r="A6" s="7" t="s">
        <v>766</v>
      </c>
      <c r="B6" s="60">
        <v>8</v>
      </c>
      <c r="C6" s="60">
        <v>9</v>
      </c>
      <c r="D6" s="60">
        <v>10</v>
      </c>
      <c r="E6" s="60">
        <v>10.7</v>
      </c>
      <c r="F6" s="60">
        <v>11</v>
      </c>
      <c r="G6" s="60">
        <v>12</v>
      </c>
      <c r="H6" s="60">
        <v>13</v>
      </c>
    </row>
    <row r="7" spans="1:11" ht="48" x14ac:dyDescent="0.25">
      <c r="A7" s="18" t="s">
        <v>767</v>
      </c>
      <c r="B7" s="61"/>
      <c r="C7" s="61"/>
      <c r="D7" s="61"/>
      <c r="E7" s="61"/>
      <c r="F7" s="61"/>
      <c r="G7" s="61"/>
      <c r="H7" s="61"/>
      <c r="K7" s="20" t="s">
        <v>768</v>
      </c>
    </row>
    <row r="8" spans="1:11" x14ac:dyDescent="0.25">
      <c r="A8" s="18" t="s">
        <v>769</v>
      </c>
      <c r="B8" s="61"/>
      <c r="C8" s="61"/>
      <c r="D8" s="61"/>
      <c r="E8" s="61"/>
      <c r="F8" s="61"/>
      <c r="G8" s="61"/>
      <c r="H8" s="61"/>
    </row>
    <row r="9" spans="1:11" x14ac:dyDescent="0.25">
      <c r="A9" s="18" t="s">
        <v>770</v>
      </c>
      <c r="B9" s="61"/>
      <c r="C9" s="61"/>
      <c r="D9" s="61"/>
      <c r="E9" s="61"/>
      <c r="F9" s="61"/>
      <c r="G9" s="61"/>
      <c r="H9" s="61"/>
    </row>
    <row r="10" spans="1:11" x14ac:dyDescent="0.25">
      <c r="A10" s="18" t="s">
        <v>771</v>
      </c>
      <c r="B10" s="61"/>
      <c r="C10" s="61"/>
      <c r="D10" s="61"/>
      <c r="E10" s="61"/>
      <c r="F10" s="61"/>
      <c r="G10" s="61"/>
      <c r="H10" s="61"/>
    </row>
    <row r="11" spans="1:11" x14ac:dyDescent="0.25">
      <c r="A11" s="18" t="s">
        <v>772</v>
      </c>
      <c r="B11" s="61"/>
      <c r="C11" s="61"/>
      <c r="D11" s="61"/>
      <c r="E11" s="61"/>
      <c r="F11" s="61"/>
      <c r="G11" s="61"/>
      <c r="H11" s="61"/>
    </row>
    <row r="13" spans="1:11" ht="15" x14ac:dyDescent="0.35">
      <c r="A13" s="9" t="s">
        <v>773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1" ht="14.5" x14ac:dyDescent="0.3">
      <c r="A14" s="74" t="s">
        <v>774</v>
      </c>
      <c r="B14" s="69"/>
      <c r="C14" s="69"/>
      <c r="D14" s="69"/>
      <c r="E14" s="69"/>
      <c r="F14" s="69"/>
      <c r="G14" s="69"/>
      <c r="H14" s="69"/>
    </row>
    <row r="15" spans="1:11" ht="14.5" x14ac:dyDescent="0.3">
      <c r="A15" s="74" t="s">
        <v>775</v>
      </c>
      <c r="B15" s="69"/>
      <c r="C15" s="69"/>
      <c r="D15" s="69"/>
      <c r="E15" s="69"/>
      <c r="F15" s="69"/>
      <c r="G15" s="69"/>
      <c r="H15" s="69"/>
    </row>
    <row r="16" spans="1:11" ht="14.5" x14ac:dyDescent="0.3">
      <c r="A16" s="74" t="s">
        <v>776</v>
      </c>
      <c r="B16" s="69"/>
      <c r="C16" s="69"/>
      <c r="D16" s="69"/>
      <c r="E16" s="69"/>
      <c r="F16" s="69"/>
      <c r="G16" s="69"/>
      <c r="H16" s="69"/>
    </row>
    <row r="17" spans="1:8" ht="14.5" x14ac:dyDescent="0.3">
      <c r="A17" s="74" t="s">
        <v>777</v>
      </c>
      <c r="B17" s="69"/>
      <c r="C17" s="69"/>
      <c r="D17" s="69"/>
      <c r="E17" s="69"/>
      <c r="F17" s="69"/>
      <c r="G17" s="69"/>
      <c r="H17" s="69"/>
    </row>
    <row r="18" spans="1:8" ht="14.5" x14ac:dyDescent="0.3">
      <c r="A18" s="74" t="s">
        <v>778</v>
      </c>
      <c r="B18" s="69"/>
      <c r="C18" s="69"/>
      <c r="D18" s="69"/>
      <c r="E18" s="69"/>
      <c r="F18" s="69"/>
      <c r="G18" s="69"/>
      <c r="H18" s="69"/>
    </row>
    <row r="19" spans="1:8" ht="14.5" x14ac:dyDescent="0.3">
      <c r="A19" s="74" t="s">
        <v>779</v>
      </c>
      <c r="B19" s="69"/>
      <c r="C19" s="69"/>
      <c r="D19" s="69"/>
      <c r="E19" s="69"/>
      <c r="F19" s="69"/>
      <c r="G19" s="69"/>
      <c r="H19" s="69"/>
    </row>
    <row r="20" spans="1:8" ht="14.5" x14ac:dyDescent="0.3">
      <c r="A20" s="74" t="s">
        <v>780</v>
      </c>
      <c r="B20" s="69"/>
      <c r="C20" s="69"/>
      <c r="D20" s="69"/>
      <c r="E20" s="69"/>
      <c r="F20" s="69"/>
      <c r="G20" s="69"/>
      <c r="H20" s="69"/>
    </row>
  </sheetData>
  <mergeCells count="10">
    <mergeCell ref="A18:H18"/>
    <mergeCell ref="A4:H4"/>
    <mergeCell ref="A1:J1"/>
    <mergeCell ref="A15:H15"/>
    <mergeCell ref="A20:H20"/>
    <mergeCell ref="A16:H16"/>
    <mergeCell ref="A19:H19"/>
    <mergeCell ref="A14:H14"/>
    <mergeCell ref="A2:J2"/>
    <mergeCell ref="A17:H17"/>
  </mergeCells>
  <phoneticPr fontId="2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73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77" t="s">
        <v>781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14.5" x14ac:dyDescent="0.3">
      <c r="A2" s="75" t="s">
        <v>43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x14ac:dyDescent="0.25">
      <c r="A3" s="11"/>
      <c r="B3" s="12" t="s">
        <v>46</v>
      </c>
      <c r="C3" s="12" t="s">
        <v>47</v>
      </c>
      <c r="D3" s="12" t="s">
        <v>48</v>
      </c>
      <c r="E3" s="11"/>
      <c r="F3" s="12" t="s">
        <v>49</v>
      </c>
      <c r="G3" s="12" t="s">
        <v>50</v>
      </c>
      <c r="H3" s="12" t="s">
        <v>51</v>
      </c>
      <c r="I3" s="11"/>
      <c r="J3" s="11"/>
      <c r="K3" s="12" t="s">
        <v>52</v>
      </c>
    </row>
    <row r="4" spans="1:11" x14ac:dyDescent="0.25">
      <c r="A4" s="7" t="s">
        <v>782</v>
      </c>
      <c r="K4" s="20" t="s">
        <v>783</v>
      </c>
    </row>
    <row r="5" spans="1:11" ht="15" x14ac:dyDescent="0.35">
      <c r="A5" s="9" t="s">
        <v>784</v>
      </c>
      <c r="B5" s="10"/>
      <c r="C5" s="10"/>
      <c r="D5" s="10"/>
      <c r="E5" s="10"/>
      <c r="F5" s="10"/>
      <c r="G5" s="10"/>
      <c r="H5" s="10"/>
      <c r="I5" s="10"/>
      <c r="J5" s="10"/>
    </row>
    <row r="6" spans="1:11" x14ac:dyDescent="0.25">
      <c r="A6" s="7" t="s">
        <v>547</v>
      </c>
      <c r="B6" s="46">
        <f>Consolidated_PL!B8</f>
        <v>0.40036512502766097</v>
      </c>
      <c r="C6" s="46">
        <f>Consolidated_PL!C8</f>
        <v>0.32664168283083184</v>
      </c>
      <c r="D6" s="46">
        <f>Consolidated_PL!D8</f>
        <v>0.34766238434904356</v>
      </c>
      <c r="F6" s="46">
        <f>Consolidated_PL!F8</f>
        <v>0.38500000000000006</v>
      </c>
      <c r="G6" s="46">
        <f>Consolidated_PL!G8</f>
        <v>0.41</v>
      </c>
      <c r="H6" s="46">
        <f>Consolidated_PL!H8</f>
        <v>0.43500000000000005</v>
      </c>
    </row>
    <row r="7" spans="1:11" x14ac:dyDescent="0.25">
      <c r="A7" s="7" t="s">
        <v>560</v>
      </c>
      <c r="B7" s="62">
        <f>Consolidated_PL!B17/Consolidated_PL!B5</f>
        <v>5.4953160728774802E-3</v>
      </c>
      <c r="C7" s="62">
        <f>Consolidated_PL!C17/Consolidated_PL!C5</f>
        <v>-0.2168885708367074</v>
      </c>
      <c r="D7" s="62">
        <f>Consolidated_PL!D17/Consolidated_PL!D5</f>
        <v>-5.360149849582805E-2</v>
      </c>
      <c r="F7" s="62">
        <f>Consolidated_PL!F17/Consolidated_PL!F5</f>
        <v>4.7652601917587654E-2</v>
      </c>
      <c r="G7" s="62">
        <f>Consolidated_PL!G17/Consolidated_PL!G5</f>
        <v>0.11086013341046171</v>
      </c>
      <c r="H7" s="62">
        <f>Consolidated_PL!H17/Consolidated_PL!H5</f>
        <v>0.15724081550590671</v>
      </c>
    </row>
    <row r="8" spans="1:11" x14ac:dyDescent="0.25">
      <c r="A8" s="7" t="s">
        <v>574</v>
      </c>
      <c r="B8" s="62">
        <f>Consolidated_PL!B26/Consolidated_PL!B5</f>
        <v>3.466843696983108E-2</v>
      </c>
      <c r="C8" s="62">
        <f>Consolidated_PL!C26/Consolidated_PL!C5</f>
        <v>-0.35916461083595413</v>
      </c>
      <c r="D8" s="62">
        <f>Consolidated_PL!D26/Consolidated_PL!D5</f>
        <v>-1.1219798308516073E-2</v>
      </c>
      <c r="F8" s="62">
        <f>Consolidated_PL!F26/Consolidated_PL!F5</f>
        <v>2.9052784893508023E-2</v>
      </c>
      <c r="G8" s="62">
        <f>Consolidated_PL!G26/Consolidated_PL!G5</f>
        <v>8.800195330229324E-2</v>
      </c>
      <c r="H8" s="62">
        <f>Consolidated_PL!H26/Consolidated_PL!H5</f>
        <v>0.13165492143415741</v>
      </c>
    </row>
    <row r="9" spans="1:11" x14ac:dyDescent="0.25">
      <c r="A9" s="7" t="s">
        <v>785</v>
      </c>
      <c r="B9" s="62">
        <f>Consolidated_PL!B29/BS!B40</f>
        <v>1.7937304669002747E-2</v>
      </c>
      <c r="C9" s="62">
        <f>Consolidated_PL!C29/BS!C40</f>
        <v>-0.18731741714515968</v>
      </c>
      <c r="D9" s="62">
        <f>Consolidated_PL!D29/BS!D40</f>
        <v>-7.7528198038169073E-3</v>
      </c>
      <c r="F9" s="62">
        <f>Consolidated_PL!F29/BS!F40</f>
        <v>7.1048285019417231E-3</v>
      </c>
      <c r="G9" s="62">
        <f>Consolidated_PL!G29/BS!G40</f>
        <v>3.4693447769465389E-2</v>
      </c>
      <c r="H9" s="62">
        <f>Consolidated_PL!H29/BS!H40</f>
        <v>5.753702515612958E-2</v>
      </c>
    </row>
    <row r="10" spans="1:11" x14ac:dyDescent="0.25">
      <c r="A10" s="7" t="s">
        <v>786</v>
      </c>
      <c r="B10" s="62">
        <f>Consolidated_PL!B26/BS!B21</f>
        <v>9.8135426889106973E-3</v>
      </c>
      <c r="C10" s="62">
        <f>Consolidated_PL!C26/BS!C21</f>
        <v>-9.706593378629412E-2</v>
      </c>
      <c r="D10" s="62">
        <f>Consolidated_PL!D26/BS!D21</f>
        <v>-2.8047240444782884E-3</v>
      </c>
      <c r="F10" s="62">
        <f>Consolidated_PL!F26/BS!F21</f>
        <v>7.3090025175883535E-3</v>
      </c>
      <c r="G10" s="62">
        <f>Consolidated_PL!G26/BS!G21</f>
        <v>2.4055466186719509E-2</v>
      </c>
      <c r="H10" s="62">
        <f>Consolidated_PL!H26/BS!H21</f>
        <v>3.7299294571271131E-2</v>
      </c>
    </row>
    <row r="11" spans="1:11" x14ac:dyDescent="0.25">
      <c r="A11" s="7" t="s">
        <v>63</v>
      </c>
      <c r="B11" s="49">
        <f>Consolidated_PL!B17+Consolidated_PL!B32</f>
        <v>8145</v>
      </c>
      <c r="C11" s="49">
        <f>Consolidated_PL!C17+Consolidated_PL!C32</f>
        <v>-1566</v>
      </c>
      <c r="D11" s="49">
        <f>Consolidated_PL!D17+Consolidated_PL!D32</f>
        <v>7924</v>
      </c>
      <c r="F11" s="49">
        <f>Consolidated_PL!F17+Consolidated_PL!F32</f>
        <v>15104.310000000001</v>
      </c>
      <c r="G11" s="49">
        <f>Consolidated_PL!G17+Consolidated_PL!G32</f>
        <v>20051.350250000003</v>
      </c>
      <c r="H11" s="49">
        <f>Consolidated_PL!H17+Consolidated_PL!H32</f>
        <v>24436.382000000001</v>
      </c>
    </row>
    <row r="12" spans="1:11" x14ac:dyDescent="0.25">
      <c r="A12" s="7" t="s">
        <v>787</v>
      </c>
      <c r="B12" s="62">
        <f>(Consolidated_PL!B17+Consolidated_PL!B32)/Consolidated_PL!B5</f>
        <v>0.1501991591059969</v>
      </c>
      <c r="C12" s="62">
        <f>(Consolidated_PL!C17+Consolidated_PL!C32)/Consolidated_PL!C5</f>
        <v>-2.9490970038229036E-2</v>
      </c>
      <c r="D12" s="62">
        <f>(Consolidated_PL!D17+Consolidated_PL!D32)/Consolidated_PL!D5</f>
        <v>0.14992526441261611</v>
      </c>
      <c r="F12" s="62">
        <f>(Consolidated_PL!F17+Consolidated_PL!F32)/Consolidated_PL!F5</f>
        <v>0.27637250237868699</v>
      </c>
      <c r="G12" s="62">
        <f>(Consolidated_PL!G17+Consolidated_PL!G32)/Consolidated_PL!G5</f>
        <v>0.32444631826768666</v>
      </c>
      <c r="H12" s="62">
        <f>(Consolidated_PL!H17+Consolidated_PL!H32)/Consolidated_PL!H5</f>
        <v>0.36125034186378968</v>
      </c>
    </row>
    <row r="14" spans="1:11" ht="15" x14ac:dyDescent="0.35">
      <c r="A14" s="9" t="s">
        <v>788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1" x14ac:dyDescent="0.25">
      <c r="A15" s="7" t="s">
        <v>789</v>
      </c>
      <c r="B15" s="47">
        <f>BS!B9/(Consolidated_PL!B5/365)</f>
        <v>22.898318211993804</v>
      </c>
      <c r="C15" s="47">
        <f>BS!C9/(Consolidated_PL!C5/365)</f>
        <v>23.906706088397581</v>
      </c>
      <c r="D15" s="47">
        <f>BS!D9/(Consolidated_PL!D5/365)</f>
        <v>26.511929313378616</v>
      </c>
      <c r="F15" s="47">
        <f>BS!F9/(Consolidated_PL!F5/365)</f>
        <v>24.999999999999996</v>
      </c>
      <c r="G15" s="47">
        <f>BS!G9/(Consolidated_PL!G5/365)</f>
        <v>25</v>
      </c>
      <c r="H15" s="47">
        <f>BS!H9/(Consolidated_PL!H5/365)</f>
        <v>25.000000000000004</v>
      </c>
    </row>
    <row r="16" spans="1:11" x14ac:dyDescent="0.25">
      <c r="A16" s="7" t="s">
        <v>790</v>
      </c>
      <c r="B16" s="47">
        <f>BS!B26/(Consolidated_PL!B6/365)</f>
        <v>96.287172863425283</v>
      </c>
      <c r="C16" s="47">
        <f>BS!C26/(Consolidated_PL!C6/365)</f>
        <v>128.17261438639667</v>
      </c>
      <c r="D16" s="47">
        <f>BS!D26/(Consolidated_PL!D6/365)</f>
        <v>104.61540692615581</v>
      </c>
      <c r="F16" s="47">
        <f>BS!F26/(Consolidated_PL!F6/365)</f>
        <v>100</v>
      </c>
      <c r="G16" s="47">
        <f>BS!G26/(Consolidated_PL!G6/365)</f>
        <v>100</v>
      </c>
      <c r="H16" s="47">
        <f>BS!H26/(Consolidated_PL!H6/365)</f>
        <v>100</v>
      </c>
    </row>
    <row r="17" spans="1:10" x14ac:dyDescent="0.25">
      <c r="A17" s="7" t="s">
        <v>791</v>
      </c>
      <c r="B17" s="47">
        <f>BS!B10/(Consolidated_PL!B6/365)</f>
        <v>124.89943721745549</v>
      </c>
      <c r="C17" s="47">
        <f>BS!C10/(Consolidated_PL!C6/365)</f>
        <v>124.5181228325316</v>
      </c>
      <c r="D17" s="47">
        <f>BS!D10/(Consolidated_PL!D6/365)</f>
        <v>122.99350310342828</v>
      </c>
      <c r="F17" s="47">
        <f>BS!F10/(Consolidated_PL!F6/365)</f>
        <v>124.99999999999999</v>
      </c>
      <c r="G17" s="47">
        <f>BS!G10/(Consolidated_PL!G6/365)</f>
        <v>125</v>
      </c>
      <c r="H17" s="47">
        <f>BS!H10/(Consolidated_PL!H6/365)</f>
        <v>124.99999999999999</v>
      </c>
    </row>
    <row r="18" spans="1:10" x14ac:dyDescent="0.25">
      <c r="A18" s="7" t="s">
        <v>679</v>
      </c>
      <c r="B18" s="62">
        <f>Cash_Flow!B24/Consolidated_PL!B5</f>
        <v>-0.4748469425389098</v>
      </c>
      <c r="C18" s="62">
        <f>Cash_Flow!C24/Consolidated_PL!C5</f>
        <v>-0.4730984350577202</v>
      </c>
      <c r="D18" s="62">
        <f>Cash_Flow!D24/Consolidated_PL!D5</f>
        <v>-0.33436134183490057</v>
      </c>
      <c r="F18" s="62">
        <f>Cash_Flow!F24/Consolidated_PL!F5</f>
        <v>-0.32386737905291663</v>
      </c>
      <c r="G18" s="62">
        <f>Cash_Flow!G24/Consolidated_PL!G5</f>
        <v>-0.31552504581180951</v>
      </c>
      <c r="H18" s="62">
        <f>Cash_Flow!H24/Consolidated_PL!H5</f>
        <v>-0.31044927924025673</v>
      </c>
    </row>
    <row r="19" spans="1:10" x14ac:dyDescent="0.25">
      <c r="A19" s="7" t="s">
        <v>792</v>
      </c>
      <c r="B19" s="63">
        <f>-Cash_Flow!B24/Consolidated_PL!B32</f>
        <v>3.2815088568879829</v>
      </c>
      <c r="C19" s="63">
        <f>-Cash_Flow!C24/Consolidated_PL!C32</f>
        <v>2.5245703949351825</v>
      </c>
      <c r="D19" s="63">
        <f>-Cash_Flow!D24/Consolidated_PL!D32</f>
        <v>1.6428372222738681</v>
      </c>
      <c r="F19" s="63">
        <f>-Cash_Flow!F24/Consolidated_PL!F32</f>
        <v>1.4159999999999999</v>
      </c>
      <c r="G19" s="63">
        <f>-Cash_Flow!G24/Consolidated_PL!G32</f>
        <v>1.4772727272727273</v>
      </c>
      <c r="H19" s="63">
        <f>-Cash_Flow!H24/Consolidated_PL!H32</f>
        <v>1.5217391304347827</v>
      </c>
    </row>
    <row r="21" spans="1:10" ht="15" x14ac:dyDescent="0.35">
      <c r="A21" s="9" t="s">
        <v>793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7" t="s">
        <v>794</v>
      </c>
      <c r="B22" s="62">
        <f>(BS!B34+BS!B28)/BS!B21</f>
        <v>0.25716701814461401</v>
      </c>
      <c r="C22" s="62">
        <f>(BS!C34+BS!C28)/BS!C21</f>
        <v>0.25452833549634835</v>
      </c>
      <c r="D22" s="62">
        <f>(BS!D34+BS!D28)/BS!D21</f>
        <v>0.22033401283646048</v>
      </c>
      <c r="F22" s="62">
        <f>(BS!F34+BS!F28)/BS!F21</f>
        <v>0.22786072881840969</v>
      </c>
      <c r="G22" s="62">
        <f>(BS!G34+BS!G28)/BS!G21</f>
        <v>0.20876740437513777</v>
      </c>
      <c r="H22" s="62">
        <f>(BS!H34+BS!H28)/BS!H21</f>
        <v>0.19266051320822972</v>
      </c>
    </row>
    <row r="23" spans="1:10" x14ac:dyDescent="0.25">
      <c r="A23" s="7" t="s">
        <v>795</v>
      </c>
      <c r="B23" s="63">
        <f>(BS!B34+BS!B28)/BS!B40</f>
        <v>0.46657827445780853</v>
      </c>
      <c r="C23" s="63">
        <f>(BS!C34+BS!C28)/BS!C40</f>
        <v>0.50378764984386015</v>
      </c>
      <c r="D23" s="63">
        <f>(BS!D34+BS!D28)/BS!D40</f>
        <v>0.40763556496705489</v>
      </c>
      <c r="F23" s="63">
        <f>(BS!F34+BS!F28)/BS!F40</f>
        <v>0.4197804168836437</v>
      </c>
      <c r="G23" s="63">
        <f>(BS!G34+BS!G28)/BS!G40</f>
        <v>0.37742648189637323</v>
      </c>
      <c r="H23" s="63">
        <f>(BS!H34+BS!H28)/BS!H40</f>
        <v>0.33907520369808841</v>
      </c>
    </row>
    <row r="24" spans="1:10" x14ac:dyDescent="0.25">
      <c r="A24" s="7" t="s">
        <v>796</v>
      </c>
      <c r="B24" s="63">
        <f>BS!B12/BS!B31</f>
        <v>1.5424018821516416</v>
      </c>
      <c r="C24" s="63">
        <f>BS!C12/BS!C31</f>
        <v>1.3268659227275277</v>
      </c>
      <c r="D24" s="63">
        <f>BS!D12/BS!D31</f>
        <v>2.0170387965162311</v>
      </c>
      <c r="F24" s="63">
        <f>BS!F12/BS!F31</f>
        <v>2.272683374302066</v>
      </c>
      <c r="G24" s="63">
        <f>BS!G12/BS!G31</f>
        <v>2.1458400246071023</v>
      </c>
      <c r="H24" s="63">
        <f>BS!H12/BS!H31</f>
        <v>2.1647016016763025</v>
      </c>
    </row>
    <row r="25" spans="1:10" x14ac:dyDescent="0.25">
      <c r="A25" s="7" t="s">
        <v>797</v>
      </c>
      <c r="B25" s="49">
        <f>BS!B7+BS!B8-BS!B34-BS!B28</f>
        <v>-24232</v>
      </c>
      <c r="C25" s="49">
        <f>BS!C7+BS!C8-BS!C34-BS!C28</f>
        <v>-27949</v>
      </c>
      <c r="D25" s="49">
        <f>BS!D7+BS!D8-BS!D34-BS!D28</f>
        <v>-9169</v>
      </c>
      <c r="F25" s="49">
        <f>BS!F7+BS!F8-BS!F34-BS!F28</f>
        <v>-4111.7367890410824</v>
      </c>
      <c r="G25" s="49">
        <f>BS!G7+BS!G8-BS!G34-BS!G28</f>
        <v>-1299.6645372945204</v>
      </c>
      <c r="H25" s="49">
        <f>BS!H7+BS!H8-BS!H34-BS!H28</f>
        <v>3995.5907547602765</v>
      </c>
    </row>
    <row r="27" spans="1:10" ht="15" x14ac:dyDescent="0.35">
      <c r="A27" s="9" t="s">
        <v>798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7" t="s">
        <v>799</v>
      </c>
      <c r="B28" s="63">
        <f>Cash_Flow!B21/Consolidated_PL!B26</f>
        <v>6.8914893617021278</v>
      </c>
      <c r="C28" s="63">
        <f>Cash_Flow!C21/Consolidated_PL!C26</f>
        <v>0.26326552013422821</v>
      </c>
      <c r="D28" s="63">
        <f>Cash_Flow!D21/Consolidated_PL!D26</f>
        <v>-16.344013490725125</v>
      </c>
      <c r="F28" s="63">
        <f>Cash_Flow!F21/Consolidated_PL!F26</f>
        <v>10.719851614744005</v>
      </c>
      <c r="G28" s="63">
        <f>Cash_Flow!G21/Consolidated_PL!G26</f>
        <v>4.4312251611960045</v>
      </c>
      <c r="H28" s="63">
        <f>Cash_Flow!H21/Consolidated_PL!H26</f>
        <v>3.106425249478669</v>
      </c>
    </row>
    <row r="29" spans="1:10" x14ac:dyDescent="0.25">
      <c r="A29" s="7" t="s">
        <v>685</v>
      </c>
      <c r="B29" s="62">
        <f>Cash_Flow!B28/Consolidated_PL!B5</f>
        <v>-0.20742052076418085</v>
      </c>
      <c r="C29" s="62">
        <f>Cash_Flow!C28/Consolidated_PL!C5</f>
        <v>-0.5378806425491045</v>
      </c>
      <c r="D29" s="62">
        <f>Cash_Flow!D28/Consolidated_PL!D5</f>
        <v>-0.17321627911376838</v>
      </c>
      <c r="F29" s="62">
        <f>Cash_Flow!F28/Consolidated_PL!F5</f>
        <v>-1.2425835999434426E-2</v>
      </c>
      <c r="G29" s="62">
        <f>Cash_Flow!G28/Consolidated_PL!G5</f>
        <v>7.4431423895708101E-2</v>
      </c>
      <c r="H29" s="62">
        <f>Cash_Flow!H28/Consolidated_PL!H5</f>
        <v>9.8526892920940315E-2</v>
      </c>
    </row>
    <row r="30" spans="1:10" x14ac:dyDescent="0.25">
      <c r="A30" s="7" t="s">
        <v>800</v>
      </c>
      <c r="B30" s="63">
        <f>Cash_Flow!B28/Consolidated_PL!B26</f>
        <v>-5.9829787234042557</v>
      </c>
      <c r="C30" s="63">
        <f>Cash_Flow!C28/Consolidated_PL!C26</f>
        <v>1.497588087248322</v>
      </c>
      <c r="D30" s="63">
        <f>Cash_Flow!D28/Consolidated_PL!D26</f>
        <v>15.438448566610456</v>
      </c>
      <c r="F30" s="63">
        <f>Cash_Flow!F28/Consolidated_PL!F26</f>
        <v>-0.42769861977021817</v>
      </c>
      <c r="G30" s="63">
        <f>Cash_Flow!G28/Consolidated_PL!G26</f>
        <v>0.84579286143832111</v>
      </c>
      <c r="H30" s="63">
        <f>Cash_Flow!H28/Consolidated_PL!H26</f>
        <v>0.74837227387823158</v>
      </c>
    </row>
    <row r="32" spans="1:10" ht="15" x14ac:dyDescent="0.35">
      <c r="A32" s="9" t="s">
        <v>801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1" x14ac:dyDescent="0.25">
      <c r="A33" s="7" t="s">
        <v>802</v>
      </c>
      <c r="B33" s="42" t="s">
        <v>803</v>
      </c>
      <c r="C33" s="14">
        <f>Consolidated_PL!C5/Consolidated_PL!B5-1</f>
        <v>-2.0782621523935951E-2</v>
      </c>
      <c r="D33" s="14">
        <f>Consolidated_PL!D5/Consolidated_PL!C5-1</f>
        <v>-4.6703451912393223E-3</v>
      </c>
      <c r="F33" s="14">
        <f>Consolidated_PL!F5/Consolidated_PL!D5-1</f>
        <v>3.4037802962934904E-2</v>
      </c>
      <c r="G33" s="14">
        <f>Consolidated_PL!G5/Consolidated_PL!F5-1</f>
        <v>0.13082320866573949</v>
      </c>
      <c r="H33" s="14">
        <f>Consolidated_PL!H5/Consolidated_PL!G5-1</f>
        <v>9.4530494686638988E-2</v>
      </c>
    </row>
    <row r="34" spans="1:11" x14ac:dyDescent="0.25">
      <c r="A34" s="7" t="s">
        <v>804</v>
      </c>
      <c r="B34" s="42" t="s">
        <v>803</v>
      </c>
      <c r="C34" s="14">
        <f>Consolidated_PL!C29/Consolidated_PL!B29-1</f>
        <v>-10.817845828933475</v>
      </c>
      <c r="D34" s="14">
        <f>Consolidated_PL!D29/Consolidated_PL!C29-1</f>
        <v>-0.95235278300618442</v>
      </c>
      <c r="F34" s="14">
        <f>Consolidated_PL!F29/Consolidated_PL!D29-1</f>
        <v>-1.9455900677200906</v>
      </c>
      <c r="G34" s="14">
        <f>Consolidated_PL!G29/Consolidated_PL!F29-1</f>
        <v>4.178696591209663</v>
      </c>
      <c r="H34" s="14">
        <f>Consolidated_PL!H29/Consolidated_PL!G29-1</f>
        <v>0.79908678300218727</v>
      </c>
    </row>
    <row r="35" spans="1:11" x14ac:dyDescent="0.25">
      <c r="A35" s="7" t="s">
        <v>805</v>
      </c>
      <c r="B35" s="42" t="s">
        <v>803</v>
      </c>
      <c r="C35" s="14">
        <f>Consolidated_PL!C35/Consolidated_PL!B35-1</f>
        <v>-10.661861362492475</v>
      </c>
      <c r="D35" s="14">
        <f>Consolidated_PL!D35/Consolidated_PL!C35-1</f>
        <v>-0.954982320367874</v>
      </c>
      <c r="F35" s="14">
        <f>Consolidated_PL!F35/Consolidated_PL!D35-1</f>
        <v>-1.8399064719160807</v>
      </c>
      <c r="G35" s="14">
        <f>Consolidated_PL!G35/Consolidated_PL!F35-1</f>
        <v>4.0987167210751503</v>
      </c>
      <c r="H35" s="14">
        <f>Consolidated_PL!H35/Consolidated_PL!G35-1</f>
        <v>0.77509895922882466</v>
      </c>
    </row>
    <row r="37" spans="1:11" ht="15" x14ac:dyDescent="0.35">
      <c r="A37" s="9" t="s">
        <v>806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1" x14ac:dyDescent="0.25">
      <c r="A38" s="18" t="s">
        <v>807</v>
      </c>
      <c r="B38" s="10"/>
      <c r="C38" s="10"/>
      <c r="D38" s="10"/>
      <c r="F38" s="64">
        <v>113</v>
      </c>
      <c r="G38" s="10"/>
      <c r="H38" s="10"/>
      <c r="K38" s="20" t="s">
        <v>808</v>
      </c>
    </row>
    <row r="40" spans="1:11" ht="15" x14ac:dyDescent="0.35">
      <c r="A40" s="9" t="s">
        <v>809</v>
      </c>
      <c r="B40" s="10"/>
      <c r="C40" s="10"/>
      <c r="D40" s="10"/>
      <c r="E40" s="10"/>
      <c r="F40" s="10"/>
      <c r="G40" s="10"/>
      <c r="H40" s="10"/>
      <c r="I40" s="10"/>
      <c r="J40" s="10"/>
    </row>
    <row r="41" spans="1:11" x14ac:dyDescent="0.25">
      <c r="A41" s="7" t="s">
        <v>810</v>
      </c>
      <c r="B41" s="10"/>
      <c r="C41" s="10"/>
      <c r="D41" s="65">
        <f>F38/Consolidated_PL!D35</f>
        <v>-577.75395033860048</v>
      </c>
      <c r="F41" s="10"/>
      <c r="G41" s="10"/>
      <c r="H41" s="10"/>
      <c r="K41" s="20" t="s">
        <v>811</v>
      </c>
    </row>
    <row r="42" spans="1:11" x14ac:dyDescent="0.25">
      <c r="A42" s="7" t="s">
        <v>812</v>
      </c>
      <c r="B42" s="10"/>
      <c r="C42" s="10"/>
      <c r="D42" s="65">
        <f>F38/(BS!D40/Consolidated_PL!D34)</f>
        <v>4.4792222679185514</v>
      </c>
      <c r="F42" s="10"/>
      <c r="G42" s="10"/>
      <c r="H42" s="10"/>
      <c r="K42" s="20" t="s">
        <v>813</v>
      </c>
    </row>
    <row r="43" spans="1:11" x14ac:dyDescent="0.25">
      <c r="A43" s="7" t="s">
        <v>814</v>
      </c>
      <c r="B43" s="10"/>
      <c r="C43" s="10"/>
      <c r="D43" s="65">
        <f>F38/(Consolidated_PL!D5/Consolidated_PL!D34)</f>
        <v>9.6851645128942536</v>
      </c>
      <c r="F43" s="10"/>
      <c r="G43" s="10"/>
      <c r="H43" s="10"/>
      <c r="K43" s="20" t="s">
        <v>815</v>
      </c>
    </row>
    <row r="44" spans="1:11" x14ac:dyDescent="0.25">
      <c r="A44" s="7" t="s">
        <v>816</v>
      </c>
      <c r="B44" s="10"/>
      <c r="C44" s="10"/>
      <c r="D44" s="65">
        <f>(F38*Consolidated_PL!D34+BS!D28+BS!D34-BS!D7-BS!D8)/(Consolidated_PL!D17+Consolidated_PL!D32)</f>
        <v>65.757067137809187</v>
      </c>
      <c r="F44" s="10"/>
      <c r="G44" s="10"/>
      <c r="H44" s="10"/>
      <c r="K44" s="20" t="s">
        <v>817</v>
      </c>
    </row>
    <row r="45" spans="1:11" x14ac:dyDescent="0.25">
      <c r="A45" s="7" t="s">
        <v>818</v>
      </c>
      <c r="B45" s="10"/>
      <c r="C45" s="10"/>
      <c r="D45" s="65">
        <f>(F38*Consolidated_PL!D34+BS!D28+BS!D34-BS!D7-BS!D8)/Consolidated_PL!D5</f>
        <v>9.8586456776341933</v>
      </c>
      <c r="F45" s="10"/>
      <c r="G45" s="10"/>
      <c r="H45" s="10"/>
      <c r="K45" s="20" t="s">
        <v>819</v>
      </c>
    </row>
    <row r="46" spans="1:11" x14ac:dyDescent="0.25">
      <c r="A46" s="7" t="s">
        <v>820</v>
      </c>
      <c r="B46" s="10"/>
      <c r="C46" s="10"/>
      <c r="D46" s="65">
        <f>F38/(Cash_Flow!D21/Consolidated_PL!D34)</f>
        <v>52.815724308708212</v>
      </c>
      <c r="F46" s="10"/>
      <c r="G46" s="10"/>
      <c r="H46" s="10"/>
      <c r="K46" s="20" t="s">
        <v>821</v>
      </c>
    </row>
    <row r="47" spans="1:11" x14ac:dyDescent="0.25">
      <c r="A47" s="7" t="s">
        <v>822</v>
      </c>
      <c r="B47" s="10"/>
      <c r="C47" s="10"/>
      <c r="D47" s="66">
        <f>(F38/Consolidated_PL!D35)/((Consolidated_PL!D35/Consolidated_PL!C35-1)*100)</f>
        <v>6.0498915845482948</v>
      </c>
      <c r="F47" s="10"/>
      <c r="G47" s="10"/>
      <c r="H47" s="10"/>
      <c r="K47" s="20" t="s">
        <v>823</v>
      </c>
    </row>
    <row r="48" spans="1:11" x14ac:dyDescent="0.25">
      <c r="A48" s="7" t="s">
        <v>824</v>
      </c>
      <c r="B48" s="10"/>
      <c r="C48" s="10"/>
      <c r="D48" s="67">
        <f>Assumptions!I139/F38</f>
        <v>0</v>
      </c>
      <c r="F48" s="10"/>
      <c r="G48" s="10"/>
      <c r="H48" s="10"/>
      <c r="K48" s="20" t="s">
        <v>825</v>
      </c>
    </row>
    <row r="50" spans="1:11" ht="15" x14ac:dyDescent="0.35">
      <c r="A50" s="9" t="s">
        <v>826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1" x14ac:dyDescent="0.25">
      <c r="A51" s="7" t="s">
        <v>810</v>
      </c>
      <c r="B51" s="10"/>
      <c r="C51" s="10"/>
      <c r="D51" s="10"/>
      <c r="F51" s="65">
        <f>F38/Consolidated_PL!F35</f>
        <v>687.87891230385333</v>
      </c>
      <c r="G51" s="10"/>
      <c r="H51" s="10"/>
      <c r="K51" s="20" t="s">
        <v>827</v>
      </c>
    </row>
    <row r="52" spans="1:11" x14ac:dyDescent="0.25">
      <c r="A52" s="7" t="s">
        <v>812</v>
      </c>
      <c r="B52" s="10"/>
      <c r="C52" s="10"/>
      <c r="D52" s="10"/>
      <c r="F52" s="65">
        <f>F38/(BS!F40/Consolidated_PL!F34)</f>
        <v>4.887261702021088</v>
      </c>
      <c r="G52" s="10"/>
      <c r="H52" s="10"/>
      <c r="K52" s="20" t="s">
        <v>828</v>
      </c>
    </row>
    <row r="53" spans="1:11" x14ac:dyDescent="0.25">
      <c r="A53" s="7" t="s">
        <v>814</v>
      </c>
      <c r="B53" s="10"/>
      <c r="C53" s="10"/>
      <c r="D53" s="10"/>
      <c r="F53" s="65">
        <f>F38/(Consolidated_PL!F5/Consolidated_PL!F34)</f>
        <v>10.544902290858522</v>
      </c>
      <c r="G53" s="10"/>
      <c r="H53" s="10"/>
      <c r="K53" s="20" t="s">
        <v>829</v>
      </c>
    </row>
    <row r="54" spans="1:11" x14ac:dyDescent="0.25">
      <c r="A54" s="7" t="s">
        <v>816</v>
      </c>
      <c r="B54" s="10"/>
      <c r="C54" s="10"/>
      <c r="D54" s="10"/>
      <c r="F54" s="65">
        <f>(F38*Consolidated_PL!F34+BS!F28+BS!F34-BS!F7-BS!F8)/(Consolidated_PL!F17+Consolidated_PL!F32)</f>
        <v>38.426895157014194</v>
      </c>
      <c r="G54" s="10"/>
      <c r="H54" s="10"/>
      <c r="K54" s="20" t="s">
        <v>830</v>
      </c>
    </row>
    <row r="55" spans="1:11" x14ac:dyDescent="0.25">
      <c r="A55" s="7" t="s">
        <v>818</v>
      </c>
      <c r="B55" s="10"/>
      <c r="C55" s="10"/>
      <c r="D55" s="10"/>
      <c r="F55" s="65">
        <f>(F38*Consolidated_PL!F34+BS!F28+BS!F34-BS!F7-BS!F8)/Consolidated_PL!F5</f>
        <v>10.620137173187461</v>
      </c>
      <c r="G55" s="10"/>
      <c r="H55" s="10"/>
      <c r="K55" s="20" t="s">
        <v>831</v>
      </c>
    </row>
    <row r="56" spans="1:11" x14ac:dyDescent="0.25">
      <c r="A56" s="7" t="s">
        <v>820</v>
      </c>
      <c r="B56" s="10"/>
      <c r="C56" s="10"/>
      <c r="D56" s="10"/>
      <c r="F56" s="65">
        <f>F38/(Cash_Flow!F21/Consolidated_PL!F34)</f>
        <v>33.85836772921364</v>
      </c>
      <c r="G56" s="10"/>
      <c r="H56" s="10"/>
      <c r="K56" s="20" t="s">
        <v>832</v>
      </c>
    </row>
    <row r="57" spans="1:11" x14ac:dyDescent="0.25">
      <c r="A57" s="7" t="s">
        <v>822</v>
      </c>
      <c r="B57" s="10"/>
      <c r="C57" s="10"/>
      <c r="D57" s="10"/>
      <c r="F57" s="66">
        <f>(F38/Consolidated_PL!F35)/((Consolidated_PL!F35/Consolidated_PL!D35-1)*100)</f>
        <v>-3.738662387482639</v>
      </c>
      <c r="G57" s="10"/>
      <c r="H57" s="10"/>
      <c r="K57" s="20" t="s">
        <v>833</v>
      </c>
    </row>
    <row r="58" spans="1:11" x14ac:dyDescent="0.25">
      <c r="A58" s="7" t="s">
        <v>824</v>
      </c>
      <c r="B58" s="10"/>
      <c r="C58" s="10"/>
      <c r="D58" s="10"/>
      <c r="F58" s="67">
        <f>Assumptions!I139/F38</f>
        <v>0</v>
      </c>
      <c r="G58" s="10"/>
      <c r="H58" s="10"/>
      <c r="K58" s="20" t="s">
        <v>834</v>
      </c>
    </row>
    <row r="60" spans="1:11" x14ac:dyDescent="0.25">
      <c r="A60" s="7" t="s">
        <v>101</v>
      </c>
    </row>
    <row r="61" spans="1:11" ht="14.5" x14ac:dyDescent="0.3">
      <c r="A61" s="80" t="s">
        <v>102</v>
      </c>
      <c r="B61" s="69"/>
      <c r="C61" s="69"/>
      <c r="D61" s="69"/>
      <c r="E61" s="69"/>
      <c r="F61" s="69"/>
    </row>
    <row r="62" spans="1:11" ht="14.5" x14ac:dyDescent="0.3">
      <c r="A62" s="76" t="s">
        <v>103</v>
      </c>
      <c r="B62" s="69"/>
      <c r="C62" s="69"/>
      <c r="D62" s="69"/>
      <c r="E62" s="69"/>
      <c r="F62" s="69"/>
    </row>
    <row r="63" spans="1:11" ht="14.5" x14ac:dyDescent="0.3">
      <c r="A63" s="78" t="s">
        <v>104</v>
      </c>
      <c r="B63" s="69"/>
      <c r="C63" s="69"/>
      <c r="D63" s="69"/>
      <c r="E63" s="69"/>
      <c r="F63" s="69"/>
    </row>
    <row r="64" spans="1:11" ht="14.5" x14ac:dyDescent="0.3">
      <c r="A64" s="79" t="s">
        <v>105</v>
      </c>
      <c r="B64" s="69"/>
      <c r="C64" s="69"/>
      <c r="D64" s="69"/>
      <c r="E64" s="69"/>
      <c r="F64" s="69"/>
    </row>
    <row r="65" spans="1:6" ht="14.5" x14ac:dyDescent="0.3">
      <c r="A65" s="79" t="s">
        <v>106</v>
      </c>
      <c r="B65" s="69"/>
      <c r="C65" s="69"/>
      <c r="D65" s="69"/>
      <c r="E65" s="69"/>
      <c r="F65" s="69"/>
    </row>
    <row r="66" spans="1:6" x14ac:dyDescent="0.25">
      <c r="A66" s="69" t="s">
        <v>107</v>
      </c>
      <c r="B66" s="69"/>
      <c r="C66" s="69"/>
      <c r="D66" s="69"/>
      <c r="E66" s="69"/>
      <c r="F66" s="69"/>
    </row>
    <row r="68" spans="1:6" x14ac:dyDescent="0.25">
      <c r="A68" s="7" t="s">
        <v>108</v>
      </c>
    </row>
    <row r="69" spans="1:6" ht="14.5" x14ac:dyDescent="0.3">
      <c r="A69" s="74" t="s">
        <v>109</v>
      </c>
      <c r="B69" s="69"/>
      <c r="C69" s="69"/>
      <c r="D69" s="69"/>
      <c r="E69" s="69"/>
      <c r="F69" s="69"/>
    </row>
    <row r="70" spans="1:6" ht="14.5" x14ac:dyDescent="0.3">
      <c r="A70" s="74" t="s">
        <v>110</v>
      </c>
      <c r="B70" s="69"/>
      <c r="C70" s="69"/>
      <c r="D70" s="69"/>
      <c r="E70" s="69"/>
      <c r="F70" s="69"/>
    </row>
    <row r="71" spans="1:6" ht="14.5" x14ac:dyDescent="0.3">
      <c r="A71" s="74" t="s">
        <v>111</v>
      </c>
      <c r="B71" s="69"/>
      <c r="C71" s="69"/>
      <c r="D71" s="69"/>
      <c r="E71" s="69"/>
      <c r="F71" s="69"/>
    </row>
    <row r="72" spans="1:6" ht="14.5" x14ac:dyDescent="0.3">
      <c r="A72" s="74" t="s">
        <v>112</v>
      </c>
      <c r="B72" s="69"/>
      <c r="C72" s="69"/>
      <c r="D72" s="69"/>
      <c r="E72" s="69"/>
      <c r="F72" s="69"/>
    </row>
    <row r="73" spans="1:6" ht="14.5" x14ac:dyDescent="0.3">
      <c r="A73" s="74" t="s">
        <v>113</v>
      </c>
      <c r="B73" s="69"/>
      <c r="C73" s="69"/>
      <c r="D73" s="69"/>
      <c r="E73" s="69"/>
      <c r="F73" s="69"/>
    </row>
  </sheetData>
  <mergeCells count="13">
    <mergeCell ref="A73:F73"/>
    <mergeCell ref="A71:F71"/>
    <mergeCell ref="A1:J1"/>
    <mergeCell ref="A63:F63"/>
    <mergeCell ref="A66:F66"/>
    <mergeCell ref="A2:J2"/>
    <mergeCell ref="A70:F70"/>
    <mergeCell ref="A61:F61"/>
    <mergeCell ref="A62:F62"/>
    <mergeCell ref="A72:F72"/>
    <mergeCell ref="A69:F69"/>
    <mergeCell ref="A64:F64"/>
    <mergeCell ref="A65:F65"/>
  </mergeCells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Cover</vt:lpstr>
      <vt:lpstr>Key_Summary</vt:lpstr>
      <vt:lpstr>Assumptions</vt:lpstr>
      <vt:lpstr>Growth_Drivers</vt:lpstr>
      <vt:lpstr>Segment_Revenue</vt:lpstr>
      <vt:lpstr>Segment_PL</vt:lpstr>
      <vt:lpstr>Consolidated_PL</vt:lpstr>
      <vt:lpstr>BS</vt:lpstr>
      <vt:lpstr>Cash_Flow</vt:lpstr>
      <vt:lpstr>DCF</vt:lpstr>
      <vt:lpstr>Sensitivity</vt:lpstr>
      <vt:lpstr>Ratio_Analysis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10352728</cp:lastModifiedBy>
  <dcterms:created xsi:type="dcterms:W3CDTF">2026-05-07T13:01:00Z</dcterms:created>
  <dcterms:modified xsi:type="dcterms:W3CDTF">2026-05-07T13:06:23Z</dcterms:modified>
</cp:coreProperties>
</file>