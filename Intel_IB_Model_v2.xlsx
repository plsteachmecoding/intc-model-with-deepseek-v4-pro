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10352728\Desktop\INTC\"/>
    </mc:Choice>
  </mc:AlternateContent>
  <bookViews>
    <workbookView xWindow="0" yWindow="0" windowWidth="19200" windowHeight="8090" tabRatio="688"/>
  </bookViews>
  <sheets>
    <sheet name="Cover" sheetId="1" r:id="rId1"/>
    <sheet name="Key_Summary" sheetId="2" r:id="rId2"/>
    <sheet name="Assumptions" sheetId="3" r:id="rId3"/>
    <sheet name="Growth_Drivers" sheetId="4" r:id="rId4"/>
    <sheet name="Segment_PL" sheetId="5" r:id="rId5"/>
    <sheet name="Consolidated_PL" sheetId="6" r:id="rId6"/>
    <sheet name="BS" sheetId="7" r:id="rId7"/>
    <sheet name="Cash_Flow" sheetId="8" r:id="rId8"/>
    <sheet name="DCF" sheetId="9" r:id="rId9"/>
    <sheet name="Sensitivity" sheetId="10" r:id="rId10"/>
    <sheet name="Ratio_Analysis" sheetId="11" r:id="rId11"/>
  </sheets>
  <calcPr calcId="162913" iterate="1"/>
</workbook>
</file>

<file path=xl/calcChain.xml><?xml version="1.0" encoding="utf-8"?>
<calcChain xmlns="http://schemas.openxmlformats.org/spreadsheetml/2006/main">
  <c r="I17" i="9" l="1"/>
  <c r="I19" i="9" s="1"/>
  <c r="I9" i="9" l="1"/>
  <c r="I10" i="9"/>
  <c r="I11" i="9"/>
  <c r="I12" i="9"/>
  <c r="I13" i="9"/>
  <c r="I18" i="9" s="1"/>
  <c r="I14" i="9"/>
  <c r="I8" i="9"/>
  <c r="B3" i="9"/>
  <c r="D48" i="11"/>
  <c r="D42" i="11"/>
  <c r="D25" i="11"/>
  <c r="C25" i="11"/>
  <c r="B25" i="11"/>
  <c r="D24" i="11"/>
  <c r="D23" i="11"/>
  <c r="C23" i="11"/>
  <c r="B23" i="11"/>
  <c r="D22" i="11"/>
  <c r="G19" i="11"/>
  <c r="D19" i="11"/>
  <c r="C19" i="11"/>
  <c r="B19" i="11"/>
  <c r="D17" i="11"/>
  <c r="C17" i="11"/>
  <c r="B17" i="11"/>
  <c r="D16" i="11"/>
  <c r="C16" i="11"/>
  <c r="B16" i="11"/>
  <c r="D15" i="11"/>
  <c r="B15" i="11"/>
  <c r="H60" i="9"/>
  <c r="H51" i="9"/>
  <c r="H38" i="9"/>
  <c r="D29" i="9"/>
  <c r="C29" i="9"/>
  <c r="B29" i="9"/>
  <c r="H17" i="9"/>
  <c r="G17" i="9"/>
  <c r="F17" i="9"/>
  <c r="D36" i="8"/>
  <c r="C36" i="8"/>
  <c r="B36" i="8"/>
  <c r="H32" i="8"/>
  <c r="F32" i="8"/>
  <c r="F27" i="8"/>
  <c r="D27" i="8"/>
  <c r="C27" i="8"/>
  <c r="B27" i="8"/>
  <c r="D25" i="8"/>
  <c r="G24" i="8"/>
  <c r="D19" i="8"/>
  <c r="C19" i="8"/>
  <c r="D18" i="8"/>
  <c r="C18" i="8"/>
  <c r="D17" i="8"/>
  <c r="C17" i="8"/>
  <c r="D16" i="8"/>
  <c r="C16" i="8"/>
  <c r="D15" i="8"/>
  <c r="C15" i="8"/>
  <c r="D14" i="8"/>
  <c r="C14" i="8"/>
  <c r="D13" i="8"/>
  <c r="C13" i="8"/>
  <c r="D8" i="8"/>
  <c r="C8" i="8"/>
  <c r="B8" i="8"/>
  <c r="H7" i="8"/>
  <c r="D7" i="8"/>
  <c r="C7" i="8"/>
  <c r="B7" i="8"/>
  <c r="D46" i="7"/>
  <c r="D47" i="7" s="1"/>
  <c r="D45" i="7"/>
  <c r="D42" i="7"/>
  <c r="C42" i="7"/>
  <c r="C29" i="2" s="1"/>
  <c r="B42" i="7"/>
  <c r="D37" i="7"/>
  <c r="D43" i="7" s="1"/>
  <c r="D36" i="7"/>
  <c r="C36" i="7"/>
  <c r="B36" i="7"/>
  <c r="F34" i="7"/>
  <c r="D31" i="7"/>
  <c r="C31" i="7"/>
  <c r="C37" i="7" s="1"/>
  <c r="B31" i="7"/>
  <c r="D21" i="7"/>
  <c r="D20" i="7"/>
  <c r="C20" i="7"/>
  <c r="B20" i="7"/>
  <c r="F18" i="7"/>
  <c r="G18" i="7" s="1"/>
  <c r="H18" i="7" s="1"/>
  <c r="F15" i="7"/>
  <c r="D12" i="7"/>
  <c r="C12" i="7"/>
  <c r="C45" i="7" s="1"/>
  <c r="B12" i="7"/>
  <c r="H36" i="6"/>
  <c r="F34" i="6"/>
  <c r="F32" i="6"/>
  <c r="H28" i="6"/>
  <c r="D17" i="6"/>
  <c r="D14" i="6"/>
  <c r="C14" i="6"/>
  <c r="B14" i="6"/>
  <c r="D8" i="6"/>
  <c r="D6" i="11" s="1"/>
  <c r="C8" i="6"/>
  <c r="C6" i="11" s="1"/>
  <c r="B8" i="6"/>
  <c r="B6" i="11" s="1"/>
  <c r="D5" i="6"/>
  <c r="C5" i="6"/>
  <c r="B5" i="6"/>
  <c r="F42" i="5"/>
  <c r="P41" i="5"/>
  <c r="K41" i="5"/>
  <c r="F41" i="5"/>
  <c r="P40" i="5"/>
  <c r="K40" i="5"/>
  <c r="F40" i="5"/>
  <c r="P39" i="5"/>
  <c r="K39" i="5"/>
  <c r="F39" i="5"/>
  <c r="P38" i="5"/>
  <c r="K38" i="5"/>
  <c r="F38" i="5"/>
  <c r="V35" i="5"/>
  <c r="P32" i="5"/>
  <c r="P42" i="5" s="1"/>
  <c r="K32" i="5"/>
  <c r="K42" i="5" s="1"/>
  <c r="F32" i="5"/>
  <c r="P29" i="5"/>
  <c r="P26" i="5"/>
  <c r="O26" i="5"/>
  <c r="N26" i="5"/>
  <c r="M26" i="5"/>
  <c r="L26" i="5"/>
  <c r="K26" i="5"/>
  <c r="K29" i="5" s="1"/>
  <c r="J26" i="5"/>
  <c r="I26" i="5"/>
  <c r="H26" i="5"/>
  <c r="G26" i="5"/>
  <c r="F26" i="5"/>
  <c r="E26" i="5"/>
  <c r="D26" i="5"/>
  <c r="C26" i="5"/>
  <c r="B26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P21" i="5"/>
  <c r="K21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P16" i="5"/>
  <c r="K16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P11" i="5"/>
  <c r="K11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P6" i="5"/>
  <c r="K6" i="5"/>
  <c r="P47" i="4"/>
  <c r="K47" i="4"/>
  <c r="J47" i="4"/>
  <c r="I47" i="4"/>
  <c r="H47" i="4"/>
  <c r="G47" i="4"/>
  <c r="F47" i="4"/>
  <c r="E47" i="4"/>
  <c r="D47" i="4"/>
  <c r="C47" i="4"/>
  <c r="B47" i="4"/>
  <c r="O46" i="4"/>
  <c r="M46" i="4"/>
  <c r="L46" i="4"/>
  <c r="I46" i="4"/>
  <c r="H46" i="4"/>
  <c r="G46" i="4"/>
  <c r="K46" i="4" s="1"/>
  <c r="K48" i="4" s="1"/>
  <c r="K49" i="4" s="1"/>
  <c r="E46" i="4"/>
  <c r="Z45" i="4"/>
  <c r="Y45" i="4"/>
  <c r="X45" i="4"/>
  <c r="W45" i="4"/>
  <c r="AA45" i="4" s="1"/>
  <c r="O44" i="4"/>
  <c r="N44" i="4"/>
  <c r="N46" i="4" s="1"/>
  <c r="M44" i="4"/>
  <c r="L44" i="4"/>
  <c r="P44" i="4" s="1"/>
  <c r="K44" i="4"/>
  <c r="J44" i="4"/>
  <c r="J46" i="4" s="1"/>
  <c r="I44" i="4"/>
  <c r="H44" i="4"/>
  <c r="G44" i="4"/>
  <c r="F44" i="4"/>
  <c r="E44" i="4"/>
  <c r="D44" i="4"/>
  <c r="D46" i="4" s="1"/>
  <c r="C44" i="4"/>
  <c r="C46" i="4" s="1"/>
  <c r="B44" i="4"/>
  <c r="B46" i="4" s="1"/>
  <c r="F46" i="4" s="1"/>
  <c r="F48" i="4" s="1"/>
  <c r="F49" i="4" s="1"/>
  <c r="AE43" i="4"/>
  <c r="AD43" i="4"/>
  <c r="V43" i="4"/>
  <c r="U43" i="4"/>
  <c r="R43" i="4"/>
  <c r="Z42" i="4"/>
  <c r="Z44" i="4" s="1"/>
  <c r="Z46" i="4" s="1"/>
  <c r="Y42" i="4"/>
  <c r="X42" i="4"/>
  <c r="W42" i="4"/>
  <c r="U42" i="4"/>
  <c r="U44" i="4" s="1"/>
  <c r="P36" i="4"/>
  <c r="K36" i="4"/>
  <c r="J36" i="4"/>
  <c r="I36" i="4"/>
  <c r="H36" i="4"/>
  <c r="G36" i="4"/>
  <c r="F36" i="4"/>
  <c r="E36" i="4"/>
  <c r="D36" i="4"/>
  <c r="C36" i="4"/>
  <c r="B36" i="4"/>
  <c r="M35" i="4"/>
  <c r="L35" i="4"/>
  <c r="C35" i="4"/>
  <c r="AE34" i="4"/>
  <c r="AD34" i="4"/>
  <c r="T34" i="4"/>
  <c r="S34" i="4"/>
  <c r="R34" i="4"/>
  <c r="Z32" i="4"/>
  <c r="Y32" i="4"/>
  <c r="O31" i="4"/>
  <c r="O33" i="4" s="1"/>
  <c r="O35" i="4" s="1"/>
  <c r="H31" i="4"/>
  <c r="H33" i="4" s="1"/>
  <c r="H35" i="4" s="1"/>
  <c r="C31" i="4"/>
  <c r="C33" i="4" s="1"/>
  <c r="B31" i="4"/>
  <c r="B33" i="4" s="1"/>
  <c r="P25" i="4"/>
  <c r="K25" i="4"/>
  <c r="J25" i="4"/>
  <c r="I25" i="4"/>
  <c r="H25" i="4"/>
  <c r="G25" i="4"/>
  <c r="F25" i="4"/>
  <c r="E25" i="4"/>
  <c r="D25" i="4"/>
  <c r="C25" i="4"/>
  <c r="B25" i="4"/>
  <c r="S24" i="4"/>
  <c r="L24" i="4"/>
  <c r="J24" i="4"/>
  <c r="I24" i="4"/>
  <c r="H24" i="4"/>
  <c r="AE23" i="4"/>
  <c r="AD23" i="4"/>
  <c r="AB23" i="4"/>
  <c r="Z23" i="4"/>
  <c r="S23" i="4"/>
  <c r="R23" i="4"/>
  <c r="S22" i="4"/>
  <c r="R22" i="4"/>
  <c r="O22" i="4"/>
  <c r="O24" i="4" s="1"/>
  <c r="N22" i="4"/>
  <c r="N24" i="4" s="1"/>
  <c r="J22" i="4"/>
  <c r="I22" i="4"/>
  <c r="H22" i="4"/>
  <c r="C22" i="4"/>
  <c r="C24" i="4" s="1"/>
  <c r="B22" i="4"/>
  <c r="AC21" i="4"/>
  <c r="AB21" i="4"/>
  <c r="AF21" i="4" s="1"/>
  <c r="AE20" i="4"/>
  <c r="AE22" i="4" s="1"/>
  <c r="AE24" i="4" s="1"/>
  <c r="S20" i="4"/>
  <c r="R20" i="4"/>
  <c r="O20" i="4"/>
  <c r="N20" i="4"/>
  <c r="M20" i="4"/>
  <c r="M22" i="4" s="1"/>
  <c r="M24" i="4" s="1"/>
  <c r="L20" i="4"/>
  <c r="L22" i="4" s="1"/>
  <c r="J20" i="4"/>
  <c r="I20" i="4"/>
  <c r="H20" i="4"/>
  <c r="G20" i="4"/>
  <c r="E20" i="4"/>
  <c r="E22" i="4" s="1"/>
  <c r="E24" i="4" s="1"/>
  <c r="D20" i="4"/>
  <c r="F20" i="4" s="1"/>
  <c r="C20" i="4"/>
  <c r="B20" i="4"/>
  <c r="Y19" i="4"/>
  <c r="X19" i="4"/>
  <c r="W19" i="4"/>
  <c r="AA19" i="4" s="1"/>
  <c r="V19" i="4"/>
  <c r="V58" i="4" s="1"/>
  <c r="U19" i="4"/>
  <c r="T19" i="4"/>
  <c r="S19" i="4"/>
  <c r="R19" i="4"/>
  <c r="Z18" i="4"/>
  <c r="Z20" i="4" s="1"/>
  <c r="Y18" i="4"/>
  <c r="X18" i="4"/>
  <c r="P12" i="4"/>
  <c r="K12" i="4"/>
  <c r="J12" i="4"/>
  <c r="I12" i="4"/>
  <c r="H12" i="4"/>
  <c r="G12" i="4"/>
  <c r="F12" i="4"/>
  <c r="E12" i="4"/>
  <c r="D12" i="4"/>
  <c r="C12" i="4"/>
  <c r="B12" i="4"/>
  <c r="M11" i="4"/>
  <c r="L11" i="4"/>
  <c r="J11" i="4"/>
  <c r="I11" i="4"/>
  <c r="H11" i="4"/>
  <c r="G11" i="4"/>
  <c r="AE10" i="4"/>
  <c r="AC10" i="4"/>
  <c r="AB10" i="4"/>
  <c r="AF10" i="4" s="1"/>
  <c r="X10" i="4"/>
  <c r="W10" i="4"/>
  <c r="T10" i="4"/>
  <c r="Z9" i="4"/>
  <c r="Y9" i="4"/>
  <c r="S9" i="4"/>
  <c r="S31" i="4" s="1"/>
  <c r="S33" i="4" s="1"/>
  <c r="S35" i="4" s="1"/>
  <c r="S15" i="5" s="1"/>
  <c r="S17" i="5" s="1"/>
  <c r="S18" i="5" s="1"/>
  <c r="R9" i="4"/>
  <c r="P9" i="4"/>
  <c r="O9" i="4"/>
  <c r="O11" i="4" s="1"/>
  <c r="N9" i="4"/>
  <c r="N11" i="4" s="1"/>
  <c r="M9" i="4"/>
  <c r="M31" i="4" s="1"/>
  <c r="M33" i="4" s="1"/>
  <c r="L9" i="4"/>
  <c r="L31" i="4" s="1"/>
  <c r="L33" i="4" s="1"/>
  <c r="K9" i="4"/>
  <c r="J9" i="4"/>
  <c r="J31" i="4" s="1"/>
  <c r="J33" i="4" s="1"/>
  <c r="J35" i="4" s="1"/>
  <c r="I9" i="4"/>
  <c r="I31" i="4" s="1"/>
  <c r="I33" i="4" s="1"/>
  <c r="I35" i="4" s="1"/>
  <c r="H9" i="4"/>
  <c r="G9" i="4"/>
  <c r="E9" i="4"/>
  <c r="D9" i="4"/>
  <c r="C9" i="4"/>
  <c r="C11" i="4" s="1"/>
  <c r="B9" i="4"/>
  <c r="B11" i="4" s="1"/>
  <c r="Z8" i="4"/>
  <c r="X8" i="4"/>
  <c r="W8" i="4"/>
  <c r="AA8" i="4" s="1"/>
  <c r="U8" i="4"/>
  <c r="T8" i="4"/>
  <c r="S8" i="4"/>
  <c r="R8" i="4"/>
  <c r="V8" i="4" s="1"/>
  <c r="V55" i="4" s="1"/>
  <c r="W7" i="4"/>
  <c r="V7" i="4"/>
  <c r="U7" i="4"/>
  <c r="T7" i="4"/>
  <c r="S7" i="4"/>
  <c r="AF245" i="3"/>
  <c r="AF35" i="5" s="1"/>
  <c r="AA245" i="3"/>
  <c r="AA35" i="5" s="1"/>
  <c r="V245" i="3"/>
  <c r="AF239" i="3"/>
  <c r="AF25" i="5" s="1"/>
  <c r="AA239" i="3"/>
  <c r="AA25" i="5" s="1"/>
  <c r="V239" i="3"/>
  <c r="V25" i="5" s="1"/>
  <c r="AF233" i="3"/>
  <c r="AA233" i="3"/>
  <c r="G28" i="6" s="1"/>
  <c r="V233" i="3"/>
  <c r="F28" i="6" s="1"/>
  <c r="F41" i="7" s="1"/>
  <c r="G41" i="7" s="1"/>
  <c r="H41" i="7" s="1"/>
  <c r="H53" i="9" s="1"/>
  <c r="H67" i="9" s="1"/>
  <c r="AF227" i="3"/>
  <c r="H22" i="6" s="1"/>
  <c r="AA227" i="3"/>
  <c r="G22" i="6" s="1"/>
  <c r="V227" i="3"/>
  <c r="F22" i="6" s="1"/>
  <c r="AF221" i="3"/>
  <c r="AA221" i="3"/>
  <c r="V221" i="3"/>
  <c r="AF215" i="3"/>
  <c r="H33" i="8" s="1"/>
  <c r="AA215" i="3"/>
  <c r="G33" i="8" s="1"/>
  <c r="V215" i="3"/>
  <c r="F33" i="8" s="1"/>
  <c r="AF209" i="3"/>
  <c r="AA209" i="3"/>
  <c r="V209" i="3"/>
  <c r="AF203" i="3"/>
  <c r="H34" i="6" s="1"/>
  <c r="H55" i="9" s="1"/>
  <c r="AA203" i="3"/>
  <c r="G34" i="6" s="1"/>
  <c r="V203" i="3"/>
  <c r="AF197" i="3"/>
  <c r="H34" i="7" s="1"/>
  <c r="AA197" i="3"/>
  <c r="G32" i="8" s="1"/>
  <c r="V197" i="3"/>
  <c r="AF191" i="3"/>
  <c r="AA191" i="3"/>
  <c r="V191" i="3"/>
  <c r="AF185" i="3"/>
  <c r="AA185" i="3"/>
  <c r="V185" i="3"/>
  <c r="AF179" i="3"/>
  <c r="AA179" i="3"/>
  <c r="V179" i="3"/>
  <c r="AF173" i="3"/>
  <c r="AA173" i="3"/>
  <c r="V173" i="3"/>
  <c r="AF167" i="3"/>
  <c r="AA167" i="3"/>
  <c r="V167" i="3"/>
  <c r="AF161" i="3"/>
  <c r="AA161" i="3"/>
  <c r="V161" i="3"/>
  <c r="AF155" i="3"/>
  <c r="AA155" i="3"/>
  <c r="V155" i="3"/>
  <c r="AF149" i="3"/>
  <c r="H24" i="8" s="1"/>
  <c r="AA149" i="3"/>
  <c r="G30" i="9" s="1"/>
  <c r="V149" i="3"/>
  <c r="F24" i="8" s="1"/>
  <c r="AF143" i="3"/>
  <c r="H13" i="6" s="1"/>
  <c r="AA143" i="3"/>
  <c r="G13" i="6" s="1"/>
  <c r="V143" i="3"/>
  <c r="F13" i="6" s="1"/>
  <c r="AF137" i="3"/>
  <c r="H33" i="6" s="1"/>
  <c r="H8" i="8" s="1"/>
  <c r="AA137" i="3"/>
  <c r="G33" i="6" s="1"/>
  <c r="G8" i="8" s="1"/>
  <c r="V137" i="3"/>
  <c r="F33" i="6" s="1"/>
  <c r="F8" i="8" s="1"/>
  <c r="AF131" i="3"/>
  <c r="H32" i="6" s="1"/>
  <c r="H29" i="9" s="1"/>
  <c r="AA131" i="3"/>
  <c r="G32" i="6" s="1"/>
  <c r="V131" i="3"/>
  <c r="AE124" i="3"/>
  <c r="AD124" i="3"/>
  <c r="AC124" i="3"/>
  <c r="AB124" i="3"/>
  <c r="Z124" i="3"/>
  <c r="Y124" i="3"/>
  <c r="X124" i="3"/>
  <c r="W124" i="3"/>
  <c r="AA124" i="3" s="1"/>
  <c r="V124" i="3"/>
  <c r="U124" i="3"/>
  <c r="T124" i="3"/>
  <c r="S124" i="3"/>
  <c r="R124" i="3"/>
  <c r="P124" i="3"/>
  <c r="K124" i="3"/>
  <c r="F124" i="3"/>
  <c r="AF123" i="3"/>
  <c r="AA123" i="3"/>
  <c r="V123" i="3"/>
  <c r="AF122" i="3"/>
  <c r="AA122" i="3"/>
  <c r="V122" i="3"/>
  <c r="AF121" i="3"/>
  <c r="AA121" i="3"/>
  <c r="V121" i="3"/>
  <c r="P121" i="3"/>
  <c r="K121" i="3"/>
  <c r="F121" i="3"/>
  <c r="AE118" i="3"/>
  <c r="AD118" i="3"/>
  <c r="AC118" i="3"/>
  <c r="AB118" i="3"/>
  <c r="AF118" i="3" s="1"/>
  <c r="Z118" i="3"/>
  <c r="Y118" i="3"/>
  <c r="X118" i="3"/>
  <c r="W118" i="3"/>
  <c r="AA118" i="3" s="1"/>
  <c r="V118" i="3"/>
  <c r="U118" i="3"/>
  <c r="T118" i="3"/>
  <c r="S118" i="3"/>
  <c r="R118" i="3"/>
  <c r="P118" i="3"/>
  <c r="K118" i="3"/>
  <c r="F118" i="3"/>
  <c r="AF117" i="3"/>
  <c r="AA117" i="3"/>
  <c r="V117" i="3"/>
  <c r="AF116" i="3"/>
  <c r="AA116" i="3"/>
  <c r="V116" i="3"/>
  <c r="AF115" i="3"/>
  <c r="AA115" i="3"/>
  <c r="V115" i="3"/>
  <c r="P115" i="3"/>
  <c r="K115" i="3"/>
  <c r="F115" i="3"/>
  <c r="AE112" i="3"/>
  <c r="AD112" i="3"/>
  <c r="AC112" i="3"/>
  <c r="AB112" i="3"/>
  <c r="AF112" i="3" s="1"/>
  <c r="AA112" i="3"/>
  <c r="Z112" i="3"/>
  <c r="Y112" i="3"/>
  <c r="X112" i="3"/>
  <c r="W112" i="3"/>
  <c r="V112" i="3"/>
  <c r="U112" i="3"/>
  <c r="T112" i="3"/>
  <c r="S112" i="3"/>
  <c r="R112" i="3"/>
  <c r="P112" i="3"/>
  <c r="K112" i="3"/>
  <c r="F112" i="3"/>
  <c r="AF111" i="3"/>
  <c r="AA111" i="3"/>
  <c r="V111" i="3"/>
  <c r="AF110" i="3"/>
  <c r="AA110" i="3"/>
  <c r="V110" i="3"/>
  <c r="AF109" i="3"/>
  <c r="AA109" i="3"/>
  <c r="V109" i="3"/>
  <c r="P109" i="3"/>
  <c r="K109" i="3"/>
  <c r="F109" i="3"/>
  <c r="AE105" i="3"/>
  <c r="AD105" i="3"/>
  <c r="AC105" i="3"/>
  <c r="AB105" i="3"/>
  <c r="AF105" i="3" s="1"/>
  <c r="Z105" i="3"/>
  <c r="Y105" i="3"/>
  <c r="X105" i="3"/>
  <c r="W105" i="3"/>
  <c r="AA105" i="3" s="1"/>
  <c r="U105" i="3"/>
  <c r="T105" i="3"/>
  <c r="V105" i="3" s="1"/>
  <c r="S105" i="3"/>
  <c r="R105" i="3"/>
  <c r="P105" i="3"/>
  <c r="K105" i="3"/>
  <c r="F105" i="3"/>
  <c r="AF104" i="3"/>
  <c r="AA104" i="3"/>
  <c r="V104" i="3"/>
  <c r="AF103" i="3"/>
  <c r="AA103" i="3"/>
  <c r="V103" i="3"/>
  <c r="AF102" i="3"/>
  <c r="AA102" i="3"/>
  <c r="V102" i="3"/>
  <c r="P102" i="3"/>
  <c r="K102" i="3"/>
  <c r="F102" i="3"/>
  <c r="AE99" i="3"/>
  <c r="AD99" i="3"/>
  <c r="AC99" i="3"/>
  <c r="AB99" i="3"/>
  <c r="AF99" i="3" s="1"/>
  <c r="Z99" i="3"/>
  <c r="Y99" i="3"/>
  <c r="AA99" i="3" s="1"/>
  <c r="X99" i="3"/>
  <c r="W99" i="3"/>
  <c r="V99" i="3"/>
  <c r="U99" i="3"/>
  <c r="T99" i="3"/>
  <c r="S99" i="3"/>
  <c r="R99" i="3"/>
  <c r="P99" i="3"/>
  <c r="K99" i="3"/>
  <c r="F99" i="3"/>
  <c r="AF98" i="3"/>
  <c r="AA98" i="3"/>
  <c r="V98" i="3"/>
  <c r="AF97" i="3"/>
  <c r="AA97" i="3"/>
  <c r="V97" i="3"/>
  <c r="AF96" i="3"/>
  <c r="AA96" i="3"/>
  <c r="V96" i="3"/>
  <c r="P96" i="3"/>
  <c r="K96" i="3"/>
  <c r="F96" i="3"/>
  <c r="AE93" i="3"/>
  <c r="AF93" i="3" s="1"/>
  <c r="AD93" i="3"/>
  <c r="AC93" i="3"/>
  <c r="AB93" i="3"/>
  <c r="Z93" i="3"/>
  <c r="Y93" i="3"/>
  <c r="X93" i="3"/>
  <c r="W93" i="3"/>
  <c r="AA93" i="3" s="1"/>
  <c r="U93" i="3"/>
  <c r="V93" i="3" s="1"/>
  <c r="T93" i="3"/>
  <c r="S93" i="3"/>
  <c r="R93" i="3"/>
  <c r="P93" i="3"/>
  <c r="K93" i="3"/>
  <c r="F93" i="3"/>
  <c r="AF92" i="3"/>
  <c r="AA92" i="3"/>
  <c r="V92" i="3"/>
  <c r="AF91" i="3"/>
  <c r="AA91" i="3"/>
  <c r="V91" i="3"/>
  <c r="AF90" i="3"/>
  <c r="AA90" i="3"/>
  <c r="V90" i="3"/>
  <c r="P90" i="3"/>
  <c r="K90" i="3"/>
  <c r="F90" i="3"/>
  <c r="AE87" i="3"/>
  <c r="AD87" i="3"/>
  <c r="AC87" i="3"/>
  <c r="AB87" i="3"/>
  <c r="AF87" i="3" s="1"/>
  <c r="Z87" i="3"/>
  <c r="AA87" i="3" s="1"/>
  <c r="Y87" i="3"/>
  <c r="X87" i="3"/>
  <c r="W87" i="3"/>
  <c r="V87" i="3"/>
  <c r="U87" i="3"/>
  <c r="T87" i="3"/>
  <c r="S87" i="3"/>
  <c r="R87" i="3"/>
  <c r="P87" i="3"/>
  <c r="K87" i="3"/>
  <c r="F87" i="3"/>
  <c r="AF86" i="3"/>
  <c r="AA86" i="3"/>
  <c r="V86" i="3"/>
  <c r="AF85" i="3"/>
  <c r="AA85" i="3"/>
  <c r="V85" i="3"/>
  <c r="AF84" i="3"/>
  <c r="AA84" i="3"/>
  <c r="V84" i="3"/>
  <c r="P84" i="3"/>
  <c r="K84" i="3"/>
  <c r="F84" i="3"/>
  <c r="AF80" i="3"/>
  <c r="AE80" i="3"/>
  <c r="AE45" i="4" s="1"/>
  <c r="AD80" i="3"/>
  <c r="AD45" i="4" s="1"/>
  <c r="AC80" i="3"/>
  <c r="AC45" i="4" s="1"/>
  <c r="AB80" i="3"/>
  <c r="AB45" i="4" s="1"/>
  <c r="Z80" i="3"/>
  <c r="Y80" i="3"/>
  <c r="X80" i="3"/>
  <c r="W80" i="3"/>
  <c r="AA80" i="3" s="1"/>
  <c r="U80" i="3"/>
  <c r="U45" i="4" s="1"/>
  <c r="T80" i="3"/>
  <c r="T45" i="4" s="1"/>
  <c r="S80" i="3"/>
  <c r="R80" i="3"/>
  <c r="R45" i="4" s="1"/>
  <c r="P80" i="3"/>
  <c r="K80" i="3"/>
  <c r="F80" i="3"/>
  <c r="AF79" i="3"/>
  <c r="AA79" i="3"/>
  <c r="V79" i="3"/>
  <c r="AF78" i="3"/>
  <c r="AA78" i="3"/>
  <c r="V78" i="3"/>
  <c r="AF77" i="3"/>
  <c r="AA77" i="3"/>
  <c r="V77" i="3"/>
  <c r="P77" i="3"/>
  <c r="K77" i="3"/>
  <c r="F77" i="3"/>
  <c r="AE74" i="3"/>
  <c r="AD74" i="3"/>
  <c r="AC74" i="3"/>
  <c r="AC43" i="4" s="1"/>
  <c r="AB74" i="3"/>
  <c r="Z74" i="3"/>
  <c r="Z43" i="4" s="1"/>
  <c r="Y74" i="3"/>
  <c r="Y43" i="4" s="1"/>
  <c r="X74" i="3"/>
  <c r="AA74" i="3" s="1"/>
  <c r="W74" i="3"/>
  <c r="W43" i="4" s="1"/>
  <c r="V74" i="3"/>
  <c r="U74" i="3"/>
  <c r="T74" i="3"/>
  <c r="T43" i="4" s="1"/>
  <c r="S74" i="3"/>
  <c r="S43" i="4" s="1"/>
  <c r="R74" i="3"/>
  <c r="P74" i="3"/>
  <c r="K74" i="3"/>
  <c r="F74" i="3"/>
  <c r="AF73" i="3"/>
  <c r="AA73" i="3"/>
  <c r="V73" i="3"/>
  <c r="AF72" i="3"/>
  <c r="AA72" i="3"/>
  <c r="V72" i="3"/>
  <c r="AF71" i="3"/>
  <c r="AA71" i="3"/>
  <c r="V71" i="3"/>
  <c r="P71" i="3"/>
  <c r="K71" i="3"/>
  <c r="F71" i="3"/>
  <c r="AE68" i="3"/>
  <c r="AE42" i="4" s="1"/>
  <c r="AE44" i="4" s="1"/>
  <c r="AE46" i="4" s="1"/>
  <c r="AD68" i="3"/>
  <c r="AC68" i="3"/>
  <c r="AC42" i="4" s="1"/>
  <c r="AC44" i="4" s="1"/>
  <c r="AB68" i="3"/>
  <c r="AB42" i="4" s="1"/>
  <c r="Z68" i="3"/>
  <c r="Y68" i="3"/>
  <c r="X68" i="3"/>
  <c r="W68" i="3"/>
  <c r="AA68" i="3" s="1"/>
  <c r="U68" i="3"/>
  <c r="T68" i="3"/>
  <c r="T42" i="4" s="1"/>
  <c r="T44" i="4" s="1"/>
  <c r="S68" i="3"/>
  <c r="S42" i="4" s="1"/>
  <c r="S44" i="4" s="1"/>
  <c r="R68" i="3"/>
  <c r="P68" i="3"/>
  <c r="K68" i="3"/>
  <c r="F68" i="3"/>
  <c r="AF67" i="3"/>
  <c r="AA67" i="3"/>
  <c r="V67" i="3"/>
  <c r="AF66" i="3"/>
  <c r="AA66" i="3"/>
  <c r="V66" i="3"/>
  <c r="AF65" i="3"/>
  <c r="AA65" i="3"/>
  <c r="V65" i="3"/>
  <c r="P65" i="3"/>
  <c r="K65" i="3"/>
  <c r="F65" i="3"/>
  <c r="AE61" i="3"/>
  <c r="AD61" i="3"/>
  <c r="AC61" i="3"/>
  <c r="AC34" i="4" s="1"/>
  <c r="AB61" i="3"/>
  <c r="Z61" i="3"/>
  <c r="Z34" i="4" s="1"/>
  <c r="Y61" i="3"/>
  <c r="Y34" i="4" s="1"/>
  <c r="X61" i="3"/>
  <c r="X34" i="4" s="1"/>
  <c r="W61" i="3"/>
  <c r="V61" i="3"/>
  <c r="V34" i="5" s="1"/>
  <c r="U61" i="3"/>
  <c r="U34" i="4" s="1"/>
  <c r="T61" i="3"/>
  <c r="S61" i="3"/>
  <c r="R61" i="3"/>
  <c r="P61" i="3"/>
  <c r="K61" i="3"/>
  <c r="F61" i="3"/>
  <c r="AF60" i="3"/>
  <c r="AA60" i="3"/>
  <c r="V60" i="3"/>
  <c r="AF59" i="3"/>
  <c r="AA59" i="3"/>
  <c r="V59" i="3"/>
  <c r="AF58" i="3"/>
  <c r="AA58" i="3"/>
  <c r="V58" i="3"/>
  <c r="P58" i="3"/>
  <c r="K58" i="3"/>
  <c r="F58" i="3"/>
  <c r="AE55" i="3"/>
  <c r="AE32" i="4" s="1"/>
  <c r="AD55" i="3"/>
  <c r="AD32" i="4" s="1"/>
  <c r="AC55" i="3"/>
  <c r="AC32" i="4" s="1"/>
  <c r="AB55" i="3"/>
  <c r="AB32" i="4" s="1"/>
  <c r="AF32" i="4" s="1"/>
  <c r="Z55" i="3"/>
  <c r="Y55" i="3"/>
  <c r="X55" i="3"/>
  <c r="X32" i="4" s="1"/>
  <c r="W55" i="3"/>
  <c r="U55" i="3"/>
  <c r="U32" i="4" s="1"/>
  <c r="T55" i="3"/>
  <c r="T32" i="4" s="1"/>
  <c r="S55" i="3"/>
  <c r="S32" i="4" s="1"/>
  <c r="R55" i="3"/>
  <c r="P55" i="3"/>
  <c r="K55" i="3"/>
  <c r="F55" i="3"/>
  <c r="AF54" i="3"/>
  <c r="AA54" i="3"/>
  <c r="V54" i="3"/>
  <c r="AF53" i="3"/>
  <c r="AA53" i="3"/>
  <c r="V53" i="3"/>
  <c r="AF52" i="3"/>
  <c r="AA52" i="3"/>
  <c r="V52" i="3"/>
  <c r="P52" i="3"/>
  <c r="K52" i="3"/>
  <c r="F52" i="3"/>
  <c r="AE48" i="3"/>
  <c r="AD48" i="3"/>
  <c r="AC48" i="3"/>
  <c r="AC23" i="4" s="1"/>
  <c r="AB48" i="3"/>
  <c r="Z48" i="3"/>
  <c r="Y48" i="3"/>
  <c r="Y23" i="4" s="1"/>
  <c r="X48" i="3"/>
  <c r="X23" i="4" s="1"/>
  <c r="W48" i="3"/>
  <c r="V48" i="3"/>
  <c r="U48" i="3"/>
  <c r="U23" i="4" s="1"/>
  <c r="T48" i="3"/>
  <c r="T23" i="4" s="1"/>
  <c r="S48" i="3"/>
  <c r="R48" i="3"/>
  <c r="P48" i="3"/>
  <c r="K48" i="3"/>
  <c r="F48" i="3"/>
  <c r="AF47" i="3"/>
  <c r="AA47" i="3"/>
  <c r="V47" i="3"/>
  <c r="AF46" i="3"/>
  <c r="AA46" i="3"/>
  <c r="V46" i="3"/>
  <c r="AF45" i="3"/>
  <c r="AA45" i="3"/>
  <c r="V45" i="3"/>
  <c r="P45" i="3"/>
  <c r="K45" i="3"/>
  <c r="F45" i="3"/>
  <c r="AE42" i="3"/>
  <c r="AE21" i="4" s="1"/>
  <c r="AD42" i="3"/>
  <c r="AD21" i="4" s="1"/>
  <c r="AC42" i="3"/>
  <c r="AB42" i="3"/>
  <c r="AF42" i="3" s="1"/>
  <c r="Z42" i="3"/>
  <c r="Z21" i="4" s="1"/>
  <c r="Y42" i="3"/>
  <c r="Y21" i="4" s="1"/>
  <c r="X42" i="3"/>
  <c r="X21" i="4" s="1"/>
  <c r="W42" i="3"/>
  <c r="V42" i="3"/>
  <c r="U42" i="3"/>
  <c r="U21" i="4" s="1"/>
  <c r="T42" i="3"/>
  <c r="T21" i="4" s="1"/>
  <c r="S42" i="3"/>
  <c r="S21" i="4" s="1"/>
  <c r="R42" i="3"/>
  <c r="R21" i="4" s="1"/>
  <c r="P42" i="3"/>
  <c r="K42" i="3"/>
  <c r="F42" i="3"/>
  <c r="AF41" i="3"/>
  <c r="AA41" i="3"/>
  <c r="V41" i="3"/>
  <c r="AF40" i="3"/>
  <c r="AA40" i="3"/>
  <c r="V40" i="3"/>
  <c r="AF39" i="3"/>
  <c r="AA39" i="3"/>
  <c r="V39" i="3"/>
  <c r="P39" i="3"/>
  <c r="K39" i="3"/>
  <c r="F39" i="3"/>
  <c r="AE36" i="3"/>
  <c r="AE19" i="4" s="1"/>
  <c r="AD36" i="3"/>
  <c r="AD19" i="4" s="1"/>
  <c r="AD20" i="4" s="1"/>
  <c r="AD22" i="4" s="1"/>
  <c r="AD24" i="4" s="1"/>
  <c r="AC36" i="3"/>
  <c r="AC19" i="4" s="1"/>
  <c r="AC20" i="4" s="1"/>
  <c r="AB36" i="3"/>
  <c r="AA36" i="3"/>
  <c r="Z36" i="3"/>
  <c r="Z19" i="4" s="1"/>
  <c r="Y36" i="3"/>
  <c r="X36" i="3"/>
  <c r="W36" i="3"/>
  <c r="V36" i="3"/>
  <c r="U36" i="3"/>
  <c r="T36" i="3"/>
  <c r="S36" i="3"/>
  <c r="R36" i="3"/>
  <c r="P36" i="3"/>
  <c r="K36" i="3"/>
  <c r="F36" i="3"/>
  <c r="AF35" i="3"/>
  <c r="AA35" i="3"/>
  <c r="V35" i="3"/>
  <c r="AF34" i="3"/>
  <c r="AA34" i="3"/>
  <c r="V34" i="3"/>
  <c r="AF33" i="3"/>
  <c r="AA33" i="3"/>
  <c r="V33" i="3"/>
  <c r="P33" i="3"/>
  <c r="K33" i="3"/>
  <c r="F33" i="3"/>
  <c r="AE30" i="3"/>
  <c r="AE18" i="4" s="1"/>
  <c r="AD30" i="3"/>
  <c r="AD18" i="4" s="1"/>
  <c r="AC30" i="3"/>
  <c r="AC18" i="4" s="1"/>
  <c r="AB30" i="3"/>
  <c r="Z30" i="3"/>
  <c r="Y30" i="3"/>
  <c r="X30" i="3"/>
  <c r="W30" i="3"/>
  <c r="U30" i="3"/>
  <c r="U18" i="4" s="1"/>
  <c r="U20" i="4" s="1"/>
  <c r="T30" i="3"/>
  <c r="V30" i="3" s="1"/>
  <c r="S30" i="3"/>
  <c r="S18" i="4" s="1"/>
  <c r="R30" i="3"/>
  <c r="R18" i="4" s="1"/>
  <c r="P30" i="3"/>
  <c r="K30" i="3"/>
  <c r="F30" i="3"/>
  <c r="AF29" i="3"/>
  <c r="AA29" i="3"/>
  <c r="V29" i="3"/>
  <c r="AF28" i="3"/>
  <c r="AA28" i="3"/>
  <c r="V28" i="3"/>
  <c r="AF27" i="3"/>
  <c r="AA27" i="3"/>
  <c r="V27" i="3"/>
  <c r="P27" i="3"/>
  <c r="K27" i="3"/>
  <c r="F27" i="3"/>
  <c r="AE23" i="3"/>
  <c r="AD23" i="3"/>
  <c r="AD10" i="4" s="1"/>
  <c r="AC23" i="3"/>
  <c r="AB23" i="3"/>
  <c r="AF23" i="3" s="1"/>
  <c r="Z23" i="3"/>
  <c r="Z10" i="4" s="1"/>
  <c r="Y23" i="3"/>
  <c r="AA23" i="3" s="1"/>
  <c r="X23" i="3"/>
  <c r="W23" i="3"/>
  <c r="V23" i="3"/>
  <c r="U23" i="3"/>
  <c r="U10" i="4" s="1"/>
  <c r="T23" i="3"/>
  <c r="S23" i="3"/>
  <c r="S10" i="4" s="1"/>
  <c r="R23" i="3"/>
  <c r="R10" i="4" s="1"/>
  <c r="P23" i="3"/>
  <c r="K23" i="3"/>
  <c r="F23" i="3"/>
  <c r="AF22" i="3"/>
  <c r="AA22" i="3"/>
  <c r="V22" i="3"/>
  <c r="AF21" i="3"/>
  <c r="AA21" i="3"/>
  <c r="V21" i="3"/>
  <c r="AF20" i="3"/>
  <c r="AA20" i="3"/>
  <c r="V20" i="3"/>
  <c r="P20" i="3"/>
  <c r="K20" i="3"/>
  <c r="F20" i="3"/>
  <c r="AE17" i="3"/>
  <c r="AE8" i="4" s="1"/>
  <c r="AD17" i="3"/>
  <c r="AD8" i="4" s="1"/>
  <c r="AD9" i="4" s="1"/>
  <c r="AC17" i="3"/>
  <c r="AC8" i="4" s="1"/>
  <c r="AB17" i="3"/>
  <c r="AB8" i="4" s="1"/>
  <c r="AF8" i="4" s="1"/>
  <c r="Z17" i="3"/>
  <c r="Y17" i="3"/>
  <c r="Y8" i="4" s="1"/>
  <c r="X17" i="3"/>
  <c r="W17" i="3"/>
  <c r="AA17" i="3" s="1"/>
  <c r="U17" i="3"/>
  <c r="T17" i="3"/>
  <c r="S17" i="3"/>
  <c r="R17" i="3"/>
  <c r="V17" i="3" s="1"/>
  <c r="P17" i="3"/>
  <c r="K17" i="3"/>
  <c r="F17" i="3"/>
  <c r="AF16" i="3"/>
  <c r="AA16" i="3"/>
  <c r="V16" i="3"/>
  <c r="AF15" i="3"/>
  <c r="AA15" i="3"/>
  <c r="V15" i="3"/>
  <c r="AF14" i="3"/>
  <c r="AA14" i="3"/>
  <c r="V14" i="3"/>
  <c r="P14" i="3"/>
  <c r="K14" i="3"/>
  <c r="F14" i="3"/>
  <c r="AE11" i="3"/>
  <c r="AE7" i="4" s="1"/>
  <c r="AD11" i="3"/>
  <c r="AD7" i="4" s="1"/>
  <c r="AC11" i="3"/>
  <c r="AC7" i="4" s="1"/>
  <c r="AC9" i="4" s="1"/>
  <c r="AB11" i="3"/>
  <c r="Z11" i="3"/>
  <c r="Z7" i="4" s="1"/>
  <c r="Y11" i="3"/>
  <c r="Y7" i="4" s="1"/>
  <c r="X11" i="3"/>
  <c r="X7" i="4" s="1"/>
  <c r="X9" i="4" s="1"/>
  <c r="W11" i="3"/>
  <c r="AA11" i="3" s="1"/>
  <c r="V11" i="3"/>
  <c r="U11" i="3"/>
  <c r="T11" i="3"/>
  <c r="S11" i="3"/>
  <c r="R11" i="3"/>
  <c r="R7" i="4" s="1"/>
  <c r="P11" i="3"/>
  <c r="K11" i="3"/>
  <c r="F11" i="3"/>
  <c r="AF10" i="3"/>
  <c r="AA10" i="3"/>
  <c r="V10" i="3"/>
  <c r="AF9" i="3"/>
  <c r="AA9" i="3"/>
  <c r="V9" i="3"/>
  <c r="AF8" i="3"/>
  <c r="AA8" i="3"/>
  <c r="V8" i="3"/>
  <c r="P8" i="3"/>
  <c r="K8" i="3"/>
  <c r="F8" i="3"/>
  <c r="D32" i="2"/>
  <c r="C32" i="2"/>
  <c r="B32" i="2"/>
  <c r="F31" i="2"/>
  <c r="D31" i="2"/>
  <c r="C31" i="2"/>
  <c r="B31" i="2"/>
  <c r="D30" i="2"/>
  <c r="C30" i="2"/>
  <c r="B30" i="2"/>
  <c r="D29" i="2"/>
  <c r="B29" i="2"/>
  <c r="D28" i="2"/>
  <c r="D25" i="2"/>
  <c r="C25" i="2"/>
  <c r="B25" i="2"/>
  <c r="D24" i="2"/>
  <c r="C24" i="2"/>
  <c r="B24" i="2"/>
  <c r="D23" i="2"/>
  <c r="C23" i="2"/>
  <c r="B23" i="2"/>
  <c r="D22" i="2"/>
  <c r="C22" i="2"/>
  <c r="B22" i="2"/>
  <c r="D21" i="2"/>
  <c r="C21" i="2"/>
  <c r="B21" i="2"/>
  <c r="H16" i="2"/>
  <c r="G16" i="2"/>
  <c r="D16" i="2"/>
  <c r="C16" i="2"/>
  <c r="B16" i="2"/>
  <c r="D9" i="2"/>
  <c r="C9" i="2"/>
  <c r="B9" i="2"/>
  <c r="D7" i="2"/>
  <c r="C7" i="2"/>
  <c r="B3" i="2"/>
  <c r="H33" i="9" l="1"/>
  <c r="D44" i="11"/>
  <c r="D24" i="6"/>
  <c r="D26" i="6" s="1"/>
  <c r="D26" i="9"/>
  <c r="D28" i="9" s="1"/>
  <c r="D32" i="9" s="1"/>
  <c r="D18" i="6"/>
  <c r="D12" i="2"/>
  <c r="D12" i="11"/>
  <c r="P30" i="5"/>
  <c r="P31" i="5" s="1"/>
  <c r="D19" i="6"/>
  <c r="D11" i="11"/>
  <c r="D11" i="2"/>
  <c r="D17" i="2"/>
  <c r="D7" i="11"/>
  <c r="G34" i="8"/>
  <c r="G36" i="6"/>
  <c r="W9" i="4"/>
  <c r="AA7" i="4"/>
  <c r="S10" i="5"/>
  <c r="S12" i="5" s="1"/>
  <c r="S13" i="5" s="1"/>
  <c r="S25" i="4"/>
  <c r="F33" i="4"/>
  <c r="B35" i="4"/>
  <c r="F35" i="4" s="1"/>
  <c r="F37" i="4" s="1"/>
  <c r="F38" i="4" s="1"/>
  <c r="AC22" i="4"/>
  <c r="AC24" i="4" s="1"/>
  <c r="AC31" i="4"/>
  <c r="AC33" i="4" s="1"/>
  <c r="AC35" i="4" s="1"/>
  <c r="U22" i="4"/>
  <c r="U24" i="4" s="1"/>
  <c r="E31" i="4"/>
  <c r="E33" i="4" s="1"/>
  <c r="E35" i="4" s="1"/>
  <c r="E11" i="4"/>
  <c r="AF23" i="4"/>
  <c r="Y44" i="4"/>
  <c r="Y46" i="4" s="1"/>
  <c r="AD42" i="4"/>
  <c r="AD44" i="4" s="1"/>
  <c r="AD46" i="4" s="1"/>
  <c r="AF68" i="3"/>
  <c r="P24" i="4"/>
  <c r="P26" i="4" s="1"/>
  <c r="P27" i="4" s="1"/>
  <c r="AE20" i="5"/>
  <c r="AE22" i="5" s="1"/>
  <c r="AE23" i="5" s="1"/>
  <c r="AE47" i="4"/>
  <c r="AE10" i="5"/>
  <c r="AE12" i="5" s="1"/>
  <c r="AE13" i="5" s="1"/>
  <c r="AE25" i="4"/>
  <c r="X43" i="4"/>
  <c r="D11" i="4"/>
  <c r="D31" i="4"/>
  <c r="D33" i="4" s="1"/>
  <c r="D35" i="4" s="1"/>
  <c r="F9" i="4"/>
  <c r="R11" i="4"/>
  <c r="R31" i="4"/>
  <c r="AD10" i="5"/>
  <c r="AD12" i="5" s="1"/>
  <c r="AD13" i="5" s="1"/>
  <c r="AD25" i="4"/>
  <c r="F58" i="11"/>
  <c r="F34" i="8"/>
  <c r="F36" i="8" s="1"/>
  <c r="F36" i="6"/>
  <c r="V54" i="4"/>
  <c r="AA43" i="4"/>
  <c r="S45" i="4"/>
  <c r="V80" i="3"/>
  <c r="Z20" i="5"/>
  <c r="Z22" i="5" s="1"/>
  <c r="Z23" i="5" s="1"/>
  <c r="Z47" i="4"/>
  <c r="U46" i="4"/>
  <c r="AB19" i="4"/>
  <c r="AF19" i="4" s="1"/>
  <c r="AF36" i="3"/>
  <c r="Y31" i="4"/>
  <c r="Y33" i="4" s="1"/>
  <c r="Y35" i="4" s="1"/>
  <c r="Y11" i="4"/>
  <c r="X44" i="4"/>
  <c r="X46" i="4" s="1"/>
  <c r="AF55" i="3"/>
  <c r="D22" i="4"/>
  <c r="D24" i="4" s="1"/>
  <c r="AF11" i="3"/>
  <c r="AB7" i="4"/>
  <c r="V10" i="4"/>
  <c r="V56" i="4" s="1"/>
  <c r="H36" i="7"/>
  <c r="H31" i="2"/>
  <c r="H52" i="9"/>
  <c r="H66" i="9" s="1"/>
  <c r="P11" i="4"/>
  <c r="P13" i="4" s="1"/>
  <c r="P14" i="4" s="1"/>
  <c r="V23" i="4"/>
  <c r="V60" i="4" s="1"/>
  <c r="C43" i="7"/>
  <c r="C46" i="7" s="1"/>
  <c r="C47" i="7" s="1"/>
  <c r="AA42" i="3"/>
  <c r="W21" i="4"/>
  <c r="AA21" i="4" s="1"/>
  <c r="S46" i="4"/>
  <c r="T18" i="4"/>
  <c r="T20" i="4" s="1"/>
  <c r="T22" i="4" s="1"/>
  <c r="T24" i="4" s="1"/>
  <c r="X11" i="4"/>
  <c r="AF17" i="3"/>
  <c r="AB43" i="4"/>
  <c r="AF43" i="4" s="1"/>
  <c r="AF74" i="3"/>
  <c r="Z11" i="4"/>
  <c r="W44" i="4"/>
  <c r="AA42" i="4"/>
  <c r="V34" i="4"/>
  <c r="C24" i="11"/>
  <c r="AC11" i="4"/>
  <c r="G33" i="9"/>
  <c r="F33" i="9"/>
  <c r="H59" i="9"/>
  <c r="V21" i="4"/>
  <c r="V59" i="4" s="1"/>
  <c r="AB44" i="4"/>
  <c r="G29" i="9"/>
  <c r="G7" i="8"/>
  <c r="T9" i="4"/>
  <c r="F11" i="4"/>
  <c r="F13" i="4" s="1"/>
  <c r="F14" i="4" s="1"/>
  <c r="Y10" i="4"/>
  <c r="AA10" i="4" s="1"/>
  <c r="S11" i="4"/>
  <c r="Z31" i="4"/>
  <c r="Z33" i="4" s="1"/>
  <c r="Z35" i="4" s="1"/>
  <c r="B17" i="6"/>
  <c r="F29" i="5"/>
  <c r="AD11" i="4"/>
  <c r="AD31" i="4"/>
  <c r="AD33" i="4" s="1"/>
  <c r="AD35" i="4" s="1"/>
  <c r="R42" i="4"/>
  <c r="V68" i="3"/>
  <c r="P22" i="4"/>
  <c r="F20" i="7"/>
  <c r="G15" i="7"/>
  <c r="W34" i="4"/>
  <c r="AA34" i="4" s="1"/>
  <c r="AA61" i="3"/>
  <c r="AA34" i="5" s="1"/>
  <c r="V22" i="4"/>
  <c r="X57" i="4" s="1"/>
  <c r="G27" i="8"/>
  <c r="T46" i="4"/>
  <c r="B24" i="4"/>
  <c r="F24" i="4" s="1"/>
  <c r="F26" i="4" s="1"/>
  <c r="F27" i="4" s="1"/>
  <c r="F22" i="4"/>
  <c r="AA30" i="3"/>
  <c r="W18" i="4"/>
  <c r="V55" i="3"/>
  <c r="R32" i="4"/>
  <c r="V32" i="4" s="1"/>
  <c r="V62" i="4" s="1"/>
  <c r="S36" i="4"/>
  <c r="W23" i="4"/>
  <c r="AA23" i="4" s="1"/>
  <c r="AA48" i="3"/>
  <c r="Z22" i="4"/>
  <c r="Z24" i="4" s="1"/>
  <c r="K20" i="4"/>
  <c r="G22" i="4"/>
  <c r="AB18" i="4"/>
  <c r="AF30" i="3"/>
  <c r="AE9" i="4"/>
  <c r="AC46" i="4"/>
  <c r="V45" i="4"/>
  <c r="U9" i="4"/>
  <c r="R24" i="4"/>
  <c r="P46" i="4"/>
  <c r="P48" i="4" s="1"/>
  <c r="P49" i="4" s="1"/>
  <c r="C17" i="6"/>
  <c r="F29" i="9"/>
  <c r="F16" i="2"/>
  <c r="B24" i="11"/>
  <c r="B45" i="7"/>
  <c r="B21" i="7"/>
  <c r="AB34" i="4"/>
  <c r="AF34" i="4" s="1"/>
  <c r="AF61" i="3"/>
  <c r="AF34" i="5" s="1"/>
  <c r="C25" i="8"/>
  <c r="C15" i="11"/>
  <c r="C18" i="11"/>
  <c r="C10" i="2"/>
  <c r="C8" i="2"/>
  <c r="C33" i="11"/>
  <c r="C21" i="7"/>
  <c r="H34" i="8"/>
  <c r="H36" i="8" s="1"/>
  <c r="B18" i="11"/>
  <c r="B25" i="8"/>
  <c r="B10" i="2"/>
  <c r="B7" i="2"/>
  <c r="X20" i="4"/>
  <c r="X22" i="4" s="1"/>
  <c r="X24" i="4" s="1"/>
  <c r="D43" i="11"/>
  <c r="D18" i="11"/>
  <c r="D10" i="2"/>
  <c r="D8" i="2"/>
  <c r="D33" i="11"/>
  <c r="F7" i="8"/>
  <c r="D45" i="11"/>
  <c r="AF48" i="3"/>
  <c r="AA55" i="3"/>
  <c r="W32" i="4"/>
  <c r="AA32" i="4" s="1"/>
  <c r="AF45" i="4"/>
  <c r="AF124" i="3"/>
  <c r="K11" i="4"/>
  <c r="K13" i="4" s="1"/>
  <c r="K14" i="4" s="1"/>
  <c r="Y20" i="4"/>
  <c r="Y22" i="4" s="1"/>
  <c r="Y24" i="4" s="1"/>
  <c r="P20" i="4"/>
  <c r="N31" i="4"/>
  <c r="F19" i="11"/>
  <c r="G31" i="4"/>
  <c r="F30" i="9"/>
  <c r="H19" i="11"/>
  <c r="G34" i="7"/>
  <c r="H30" i="9"/>
  <c r="G36" i="8"/>
  <c r="F36" i="7"/>
  <c r="H27" i="8"/>
  <c r="B17" i="9"/>
  <c r="B37" i="7"/>
  <c r="B43" i="7" s="1"/>
  <c r="B46" i="7" s="1"/>
  <c r="X25" i="4" l="1"/>
  <c r="X10" i="5"/>
  <c r="X12" i="5" s="1"/>
  <c r="X13" i="5" s="1"/>
  <c r="AC10" i="5"/>
  <c r="AC12" i="5" s="1"/>
  <c r="AC13" i="5" s="1"/>
  <c r="AC25" i="4"/>
  <c r="S5" i="5"/>
  <c r="S7" i="5" s="1"/>
  <c r="S12" i="4"/>
  <c r="H15" i="7"/>
  <c r="H20" i="7" s="1"/>
  <c r="G20" i="7"/>
  <c r="G33" i="4"/>
  <c r="K31" i="4"/>
  <c r="AF18" i="4"/>
  <c r="AB20" i="4"/>
  <c r="V20" i="4"/>
  <c r="X59" i="4" s="1"/>
  <c r="AD47" i="4"/>
  <c r="AD20" i="5"/>
  <c r="AD22" i="5" s="1"/>
  <c r="AD23" i="5" s="1"/>
  <c r="AF7" i="4"/>
  <c r="AB9" i="4"/>
  <c r="Y20" i="5"/>
  <c r="Y22" i="5" s="1"/>
  <c r="Y23" i="5" s="1"/>
  <c r="Y47" i="4"/>
  <c r="R44" i="4"/>
  <c r="V42" i="4"/>
  <c r="V63" i="4" s="1"/>
  <c r="W46" i="4"/>
  <c r="AA44" i="4"/>
  <c r="F31" i="4"/>
  <c r="Y5" i="5"/>
  <c r="Y7" i="5" s="1"/>
  <c r="Y12" i="4"/>
  <c r="U31" i="4"/>
  <c r="U33" i="4" s="1"/>
  <c r="U35" i="4" s="1"/>
  <c r="U11" i="4"/>
  <c r="X31" i="4"/>
  <c r="X33" i="4" s="1"/>
  <c r="X35" i="4" s="1"/>
  <c r="Y15" i="5"/>
  <c r="Y17" i="5" s="1"/>
  <c r="Y18" i="5" s="1"/>
  <c r="Y36" i="4"/>
  <c r="Z15" i="5"/>
  <c r="Z17" i="5" s="1"/>
  <c r="Z18" i="5" s="1"/>
  <c r="Z36" i="4"/>
  <c r="X5" i="5"/>
  <c r="X7" i="5" s="1"/>
  <c r="X12" i="4"/>
  <c r="AC47" i="4"/>
  <c r="AC20" i="5"/>
  <c r="AC22" i="5" s="1"/>
  <c r="AC23" i="5" s="1"/>
  <c r="T25" i="4"/>
  <c r="T10" i="5"/>
  <c r="T12" i="5" s="1"/>
  <c r="T13" i="5" s="1"/>
  <c r="AE31" i="4"/>
  <c r="AE33" i="4" s="1"/>
  <c r="AE35" i="4" s="1"/>
  <c r="AE11" i="4"/>
  <c r="S20" i="5"/>
  <c r="S22" i="5" s="1"/>
  <c r="S23" i="5" s="1"/>
  <c r="S47" i="4"/>
  <c r="T31" i="4"/>
  <c r="T33" i="4" s="1"/>
  <c r="T35" i="4" s="1"/>
  <c r="T11" i="4"/>
  <c r="V11" i="4" s="1"/>
  <c r="V9" i="4"/>
  <c r="X56" i="4" s="1"/>
  <c r="Z25" i="4"/>
  <c r="Z10" i="5"/>
  <c r="Z12" i="5" s="1"/>
  <c r="Z13" i="5" s="1"/>
  <c r="T20" i="5"/>
  <c r="T22" i="5" s="1"/>
  <c r="T23" i="5" s="1"/>
  <c r="T47" i="4"/>
  <c r="AF42" i="4"/>
  <c r="AD12" i="4"/>
  <c r="AD5" i="5"/>
  <c r="AD7" i="5" s="1"/>
  <c r="AF44" i="4"/>
  <c r="AB46" i="4"/>
  <c r="V18" i="4"/>
  <c r="X55" i="4"/>
  <c r="D29" i="6"/>
  <c r="D6" i="8"/>
  <c r="D21" i="8" s="1"/>
  <c r="D34" i="2"/>
  <c r="D8" i="11"/>
  <c r="D10" i="11"/>
  <c r="D27" i="6"/>
  <c r="G36" i="7"/>
  <c r="G31" i="2"/>
  <c r="R10" i="5"/>
  <c r="V24" i="4"/>
  <c r="R25" i="4"/>
  <c r="B12" i="11"/>
  <c r="B19" i="6"/>
  <c r="B11" i="11"/>
  <c r="F30" i="5"/>
  <c r="B26" i="9"/>
  <c r="B28" i="9" s="1"/>
  <c r="B32" i="9" s="1"/>
  <c r="B24" i="6"/>
  <c r="B26" i="6" s="1"/>
  <c r="B18" i="6"/>
  <c r="B12" i="2"/>
  <c r="B7" i="11"/>
  <c r="B11" i="2"/>
  <c r="B17" i="2"/>
  <c r="AC36" i="4"/>
  <c r="AC15" i="5"/>
  <c r="AC17" i="5" s="1"/>
  <c r="AC18" i="5" s="1"/>
  <c r="AC12" i="4"/>
  <c r="AC5" i="5"/>
  <c r="AC7" i="5" s="1"/>
  <c r="B22" i="11"/>
  <c r="B28" i="2"/>
  <c r="AA18" i="4"/>
  <c r="W20" i="4"/>
  <c r="W31" i="4" s="1"/>
  <c r="U47" i="4"/>
  <c r="U20" i="5"/>
  <c r="U22" i="5" s="1"/>
  <c r="U23" i="5" s="1"/>
  <c r="B47" i="7"/>
  <c r="V31" i="4"/>
  <c r="R33" i="4"/>
  <c r="C28" i="2"/>
  <c r="C22" i="11"/>
  <c r="K22" i="4"/>
  <c r="G24" i="4"/>
  <c r="K24" i="4" s="1"/>
  <c r="K26" i="4" s="1"/>
  <c r="K27" i="4" s="1"/>
  <c r="R5" i="5"/>
  <c r="R12" i="4"/>
  <c r="N33" i="4"/>
  <c r="P31" i="4"/>
  <c r="AD36" i="4"/>
  <c r="AD15" i="5"/>
  <c r="AD17" i="5" s="1"/>
  <c r="AD18" i="5" s="1"/>
  <c r="Z12" i="4"/>
  <c r="Z5" i="5"/>
  <c r="Z7" i="5" s="1"/>
  <c r="W11" i="4"/>
  <c r="AA9" i="4"/>
  <c r="C11" i="11"/>
  <c r="K30" i="5"/>
  <c r="K31" i="5" s="1"/>
  <c r="C18" i="6"/>
  <c r="C12" i="2"/>
  <c r="C12" i="11"/>
  <c r="C26" i="9"/>
  <c r="C28" i="9" s="1"/>
  <c r="C32" i="9" s="1"/>
  <c r="C24" i="6"/>
  <c r="C26" i="6" s="1"/>
  <c r="C11" i="2"/>
  <c r="C7" i="11"/>
  <c r="C19" i="6"/>
  <c r="C17" i="2"/>
  <c r="Y25" i="4"/>
  <c r="Y10" i="5"/>
  <c r="Y12" i="5" s="1"/>
  <c r="Y13" i="5" s="1"/>
  <c r="F31" i="5"/>
  <c r="X20" i="5"/>
  <c r="X22" i="5" s="1"/>
  <c r="X23" i="5" s="1"/>
  <c r="X47" i="4"/>
  <c r="U25" i="4"/>
  <c r="U10" i="5"/>
  <c r="U12" i="5" s="1"/>
  <c r="U13" i="5" s="1"/>
  <c r="V12" i="4" l="1"/>
  <c r="V13" i="4" s="1"/>
  <c r="V14" i="4" s="1"/>
  <c r="X54" i="4"/>
  <c r="W33" i="4"/>
  <c r="AA31" i="4"/>
  <c r="R35" i="4"/>
  <c r="V33" i="4"/>
  <c r="X61" i="4" s="1"/>
  <c r="AF20" i="4"/>
  <c r="AB22" i="4"/>
  <c r="X62" i="4"/>
  <c r="V61" i="4"/>
  <c r="D35" i="6"/>
  <c r="D9" i="11"/>
  <c r="D14" i="2"/>
  <c r="D13" i="2"/>
  <c r="D33" i="2"/>
  <c r="W20" i="5"/>
  <c r="W47" i="4"/>
  <c r="AA46" i="4"/>
  <c r="T36" i="4"/>
  <c r="T15" i="5"/>
  <c r="T17" i="5" s="1"/>
  <c r="T18" i="5" s="1"/>
  <c r="R46" i="4"/>
  <c r="V44" i="4"/>
  <c r="X63" i="4" s="1"/>
  <c r="R7" i="5"/>
  <c r="AE12" i="4"/>
  <c r="AE5" i="5"/>
  <c r="AE7" i="5" s="1"/>
  <c r="AB11" i="4"/>
  <c r="AF9" i="4"/>
  <c r="AB31" i="4"/>
  <c r="AC8" i="5"/>
  <c r="AC26" i="5"/>
  <c r="U15" i="5"/>
  <c r="U17" i="5" s="1"/>
  <c r="U18" i="5" s="1"/>
  <c r="U36" i="4"/>
  <c r="C29" i="6"/>
  <c r="C8" i="11"/>
  <c r="C6" i="8"/>
  <c r="C21" i="8" s="1"/>
  <c r="C34" i="2"/>
  <c r="C10" i="11"/>
  <c r="C27" i="6"/>
  <c r="D28" i="11"/>
  <c r="D46" i="11"/>
  <c r="D37" i="8"/>
  <c r="D28" i="8"/>
  <c r="X8" i="5"/>
  <c r="V26" i="4"/>
  <c r="V27" i="4" s="1"/>
  <c r="V25" i="4"/>
  <c r="T5" i="5"/>
  <c r="T7" i="5" s="1"/>
  <c r="T12" i="4"/>
  <c r="K33" i="4"/>
  <c r="G35" i="4"/>
  <c r="K35" i="4" s="1"/>
  <c r="K37" i="4" s="1"/>
  <c r="K38" i="4" s="1"/>
  <c r="N35" i="4"/>
  <c r="P35" i="4" s="1"/>
  <c r="P37" i="4" s="1"/>
  <c r="P38" i="4" s="1"/>
  <c r="P33" i="4"/>
  <c r="V10" i="5"/>
  <c r="R12" i="5"/>
  <c r="V57" i="4"/>
  <c r="X58" i="4"/>
  <c r="X15" i="5"/>
  <c r="X17" i="5" s="1"/>
  <c r="X18" i="5" s="1"/>
  <c r="X36" i="4"/>
  <c r="S8" i="5"/>
  <c r="S26" i="5"/>
  <c r="B10" i="11"/>
  <c r="B8" i="11"/>
  <c r="B27" i="6"/>
  <c r="B29" i="6"/>
  <c r="B34" i="2"/>
  <c r="B6" i="8"/>
  <c r="B21" i="8" s="1"/>
  <c r="AE36" i="4"/>
  <c r="AE15" i="5"/>
  <c r="AE17" i="5" s="1"/>
  <c r="AE18" i="5" s="1"/>
  <c r="U5" i="5"/>
  <c r="U7" i="5" s="1"/>
  <c r="U12" i="4"/>
  <c r="W5" i="5"/>
  <c r="W12" i="4"/>
  <c r="AA11" i="4"/>
  <c r="AA20" i="4"/>
  <c r="W22" i="4"/>
  <c r="AB20" i="5"/>
  <c r="AF46" i="4"/>
  <c r="AB47" i="4"/>
  <c r="AD8" i="5"/>
  <c r="AD26" i="5"/>
  <c r="Z26" i="5"/>
  <c r="Z8" i="5"/>
  <c r="Y8" i="5"/>
  <c r="Y26" i="5"/>
  <c r="U26" i="5" l="1"/>
  <c r="U8" i="5"/>
  <c r="X26" i="5"/>
  <c r="R47" i="4"/>
  <c r="V46" i="4"/>
  <c r="R20" i="5"/>
  <c r="V12" i="5"/>
  <c r="V13" i="5" s="1"/>
  <c r="R13" i="5"/>
  <c r="AF47" i="4"/>
  <c r="AF48" i="4"/>
  <c r="AF49" i="4" s="1"/>
  <c r="W24" i="4"/>
  <c r="AA22" i="4"/>
  <c r="V35" i="4"/>
  <c r="R36" i="4"/>
  <c r="R15" i="5"/>
  <c r="W35" i="4"/>
  <c r="AA33" i="4"/>
  <c r="C34" i="11"/>
  <c r="C35" i="6"/>
  <c r="C9" i="11"/>
  <c r="C14" i="2"/>
  <c r="C13" i="2"/>
  <c r="C33" i="2"/>
  <c r="D34" i="11"/>
  <c r="B28" i="11"/>
  <c r="B37" i="8"/>
  <c r="B28" i="8"/>
  <c r="D30" i="11"/>
  <c r="D18" i="2"/>
  <c r="D29" i="8"/>
  <c r="D29" i="11"/>
  <c r="AB24" i="4"/>
  <c r="AF22" i="4"/>
  <c r="V11" i="5"/>
  <c r="F22" i="2"/>
  <c r="AA47" i="4"/>
  <c r="AA48" i="4" s="1"/>
  <c r="AA49" i="4" s="1"/>
  <c r="B35" i="6"/>
  <c r="B15" i="2" s="1"/>
  <c r="B14" i="2"/>
  <c r="B9" i="11"/>
  <c r="B13" i="2"/>
  <c r="B33" i="2"/>
  <c r="AA12" i="4"/>
  <c r="AA13" i="4"/>
  <c r="AA14" i="4" s="1"/>
  <c r="W7" i="5"/>
  <c r="AA5" i="5"/>
  <c r="T8" i="5"/>
  <c r="T26" i="5"/>
  <c r="C37" i="8"/>
  <c r="C28" i="8"/>
  <c r="C28" i="11"/>
  <c r="V7" i="5"/>
  <c r="R8" i="5"/>
  <c r="AF20" i="5"/>
  <c r="AB22" i="5"/>
  <c r="AF31" i="4"/>
  <c r="AB33" i="4"/>
  <c r="W22" i="5"/>
  <c r="AA20" i="5"/>
  <c r="AB12" i="4"/>
  <c r="AF11" i="4"/>
  <c r="AB5" i="5"/>
  <c r="AE8" i="5"/>
  <c r="AE26" i="5"/>
  <c r="V5" i="5"/>
  <c r="D41" i="11"/>
  <c r="D35" i="11"/>
  <c r="D47" i="11"/>
  <c r="D15" i="2"/>
  <c r="AF33" i="4" l="1"/>
  <c r="AB35" i="4"/>
  <c r="W10" i="5"/>
  <c r="AA24" i="4"/>
  <c r="W25" i="4"/>
  <c r="AB10" i="5"/>
  <c r="AB25" i="4"/>
  <c r="AF24" i="4"/>
  <c r="V20" i="5"/>
  <c r="AA21" i="5" s="1"/>
  <c r="R22" i="5"/>
  <c r="AF5" i="5"/>
  <c r="AB7" i="5"/>
  <c r="AA35" i="4"/>
  <c r="W15" i="5"/>
  <c r="W36" i="4"/>
  <c r="AA6" i="5"/>
  <c r="G21" i="2"/>
  <c r="AF22" i="5"/>
  <c r="AF23" i="5" s="1"/>
  <c r="AB23" i="5"/>
  <c r="V6" i="5"/>
  <c r="F21" i="2"/>
  <c r="C35" i="11"/>
  <c r="C15" i="2"/>
  <c r="V8" i="5"/>
  <c r="V47" i="4"/>
  <c r="V48" i="4"/>
  <c r="V49" i="4" s="1"/>
  <c r="C18" i="2"/>
  <c r="C29" i="8"/>
  <c r="C30" i="11"/>
  <c r="C29" i="11"/>
  <c r="B30" i="11"/>
  <c r="B29" i="8"/>
  <c r="B18" i="2"/>
  <c r="B29" i="11"/>
  <c r="AA22" i="5"/>
  <c r="AA23" i="5" s="1"/>
  <c r="W23" i="5"/>
  <c r="AA7" i="5"/>
  <c r="W8" i="5"/>
  <c r="H24" i="2"/>
  <c r="AF21" i="5"/>
  <c r="AF12" i="4"/>
  <c r="AF13" i="4"/>
  <c r="AF14" i="4" s="1"/>
  <c r="R17" i="5"/>
  <c r="V15" i="5"/>
  <c r="V32" i="5" s="1"/>
  <c r="G24" i="2"/>
  <c r="V36" i="4"/>
  <c r="V37" i="4" s="1"/>
  <c r="V38" i="4" s="1"/>
  <c r="AB12" i="5" l="1"/>
  <c r="AF10" i="5"/>
  <c r="AA25" i="4"/>
  <c r="AA26" i="4" s="1"/>
  <c r="AA27" i="4" s="1"/>
  <c r="R23" i="5"/>
  <c r="V22" i="5"/>
  <c r="V23" i="5" s="1"/>
  <c r="AA8" i="5"/>
  <c r="AF25" i="4"/>
  <c r="AF26" i="4" s="1"/>
  <c r="AF27" i="4" s="1"/>
  <c r="R18" i="5"/>
  <c r="V17" i="5"/>
  <c r="R26" i="5"/>
  <c r="AA15" i="5"/>
  <c r="W17" i="5"/>
  <c r="AF35" i="4"/>
  <c r="AB36" i="4"/>
  <c r="AB15" i="5"/>
  <c r="AF7" i="5"/>
  <c r="AB8" i="5"/>
  <c r="AF6" i="5"/>
  <c r="AF36" i="5"/>
  <c r="H21" i="2"/>
  <c r="F24" i="2"/>
  <c r="V21" i="5"/>
  <c r="V42" i="5"/>
  <c r="V16" i="5"/>
  <c r="F23" i="2"/>
  <c r="W12" i="5"/>
  <c r="AA10" i="5"/>
  <c r="V36" i="5"/>
  <c r="AA36" i="4"/>
  <c r="AA37" i="4" s="1"/>
  <c r="AA38" i="4" s="1"/>
  <c r="H5" i="6" l="1"/>
  <c r="H25" i="2"/>
  <c r="AF41" i="5"/>
  <c r="AF40" i="5"/>
  <c r="F5" i="6"/>
  <c r="F25" i="2"/>
  <c r="V41" i="5"/>
  <c r="V39" i="5"/>
  <c r="V38" i="5"/>
  <c r="AA11" i="5"/>
  <c r="AA39" i="5"/>
  <c r="G22" i="2"/>
  <c r="AA36" i="5"/>
  <c r="AA32" i="5"/>
  <c r="W13" i="5"/>
  <c r="AA12" i="5"/>
  <c r="W26" i="5"/>
  <c r="AF15" i="5"/>
  <c r="AB17" i="5"/>
  <c r="AF36" i="4"/>
  <c r="AF37" i="4"/>
  <c r="AF38" i="4" s="1"/>
  <c r="V40" i="5"/>
  <c r="W18" i="5"/>
  <c r="AA17" i="5"/>
  <c r="AA18" i="5" s="1"/>
  <c r="AF38" i="5"/>
  <c r="AA16" i="5"/>
  <c r="AA42" i="5"/>
  <c r="G23" i="2"/>
  <c r="H22" i="2"/>
  <c r="AF11" i="5"/>
  <c r="AF39" i="5"/>
  <c r="V18" i="5"/>
  <c r="V26" i="5"/>
  <c r="AF8" i="5"/>
  <c r="AB13" i="5"/>
  <c r="AF12" i="5"/>
  <c r="AF13" i="5" s="1"/>
  <c r="F17" i="6" l="1"/>
  <c r="V29" i="5"/>
  <c r="AF17" i="5"/>
  <c r="AB18" i="5"/>
  <c r="AB26" i="5"/>
  <c r="AF16" i="5"/>
  <c r="H23" i="2"/>
  <c r="AF32" i="5"/>
  <c r="AF42" i="5" s="1"/>
  <c r="F27" i="7"/>
  <c r="F17" i="8" s="1"/>
  <c r="F9" i="7"/>
  <c r="F12" i="6"/>
  <c r="F53" i="11"/>
  <c r="F31" i="9"/>
  <c r="F29" i="7"/>
  <c r="F19" i="8" s="1"/>
  <c r="F8" i="2"/>
  <c r="F33" i="11"/>
  <c r="F11" i="7"/>
  <c r="F15" i="8" s="1"/>
  <c r="F6" i="6"/>
  <c r="F30" i="7"/>
  <c r="F18" i="8" s="1"/>
  <c r="F7" i="2"/>
  <c r="F11" i="6"/>
  <c r="F18" i="11"/>
  <c r="F25" i="8"/>
  <c r="AA13" i="5"/>
  <c r="AA26" i="5"/>
  <c r="G5" i="6"/>
  <c r="G25" i="2"/>
  <c r="AA41" i="5"/>
  <c r="AA40" i="5"/>
  <c r="AA38" i="5"/>
  <c r="H12" i="6"/>
  <c r="H30" i="7"/>
  <c r="H6" i="6"/>
  <c r="H33" i="11"/>
  <c r="H27" i="7"/>
  <c r="H7" i="2"/>
  <c r="H9" i="7"/>
  <c r="H11" i="6"/>
  <c r="H31" i="9"/>
  <c r="H11" i="7"/>
  <c r="H8" i="2"/>
  <c r="H29" i="7"/>
  <c r="H18" i="11"/>
  <c r="H25" i="8"/>
  <c r="H26" i="7" l="1"/>
  <c r="H10" i="7"/>
  <c r="H19" i="8"/>
  <c r="G33" i="11"/>
  <c r="G12" i="6"/>
  <c r="G11" i="7"/>
  <c r="G15" i="8" s="1"/>
  <c r="G11" i="6"/>
  <c r="G14" i="6" s="1"/>
  <c r="G6" i="6"/>
  <c r="G27" i="7"/>
  <c r="G17" i="8" s="1"/>
  <c r="G9" i="7"/>
  <c r="G31" i="9"/>
  <c r="G8" i="2"/>
  <c r="G29" i="7"/>
  <c r="G19" i="8" s="1"/>
  <c r="G7" i="2"/>
  <c r="G30" i="7"/>
  <c r="G18" i="8" s="1"/>
  <c r="G25" i="8"/>
  <c r="G18" i="11"/>
  <c r="F14" i="6"/>
  <c r="H14" i="6"/>
  <c r="V31" i="5"/>
  <c r="F15" i="11"/>
  <c r="F13" i="8"/>
  <c r="F26" i="7"/>
  <c r="F10" i="7"/>
  <c r="H15" i="11"/>
  <c r="H13" i="8"/>
  <c r="G17" i="6"/>
  <c r="AA29" i="5"/>
  <c r="AF18" i="5"/>
  <c r="AF26" i="5"/>
  <c r="H7" i="6"/>
  <c r="F7" i="6"/>
  <c r="F24" i="6"/>
  <c r="F11" i="11"/>
  <c r="F7" i="11"/>
  <c r="F26" i="9"/>
  <c r="F18" i="6"/>
  <c r="F12" i="2"/>
  <c r="F12" i="11"/>
  <c r="F11" i="2"/>
  <c r="F17" i="2"/>
  <c r="V30" i="5"/>
  <c r="F10" i="2" l="1"/>
  <c r="F9" i="2"/>
  <c r="F8" i="6"/>
  <c r="F6" i="11" s="1"/>
  <c r="F19" i="6"/>
  <c r="H19" i="6"/>
  <c r="H9" i="2"/>
  <c r="H8" i="6"/>
  <c r="H6" i="11" s="1"/>
  <c r="H10" i="2"/>
  <c r="G10" i="7"/>
  <c r="G26" i="7"/>
  <c r="H15" i="8"/>
  <c r="H17" i="8"/>
  <c r="H17" i="6"/>
  <c r="AF29" i="5"/>
  <c r="G26" i="9"/>
  <c r="G24" i="6"/>
  <c r="G12" i="11"/>
  <c r="G17" i="2"/>
  <c r="G7" i="11"/>
  <c r="G11" i="11"/>
  <c r="AA30" i="5"/>
  <c r="AA31" i="5" s="1"/>
  <c r="G11" i="2"/>
  <c r="G18" i="6"/>
  <c r="G12" i="2"/>
  <c r="G7" i="6"/>
  <c r="F27" i="9"/>
  <c r="F28" i="9" s="1"/>
  <c r="F32" i="9" s="1"/>
  <c r="F34" i="9" s="1"/>
  <c r="F17" i="11"/>
  <c r="F14" i="8"/>
  <c r="F31" i="7"/>
  <c r="F37" i="7" s="1"/>
  <c r="F16" i="8"/>
  <c r="F16" i="11"/>
  <c r="H18" i="8"/>
  <c r="H17" i="11"/>
  <c r="H14" i="8"/>
  <c r="F25" i="6"/>
  <c r="F26" i="6"/>
  <c r="G15" i="11"/>
  <c r="G13" i="8"/>
  <c r="H16" i="11"/>
  <c r="H31" i="7"/>
  <c r="H37" i="7" s="1"/>
  <c r="G25" i="6" l="1"/>
  <c r="G26" i="6"/>
  <c r="G27" i="9"/>
  <c r="G28" i="9"/>
  <c r="G32" i="9" s="1"/>
  <c r="G34" i="9" s="1"/>
  <c r="G16" i="8"/>
  <c r="G31" i="7"/>
  <c r="G37" i="7" s="1"/>
  <c r="G16" i="11"/>
  <c r="G17" i="11"/>
  <c r="G14" i="8"/>
  <c r="H16" i="8"/>
  <c r="G10" i="2"/>
  <c r="G9" i="2"/>
  <c r="G19" i="6"/>
  <c r="G8" i="6"/>
  <c r="G6" i="11" s="1"/>
  <c r="F29" i="6"/>
  <c r="F6" i="8"/>
  <c r="F21" i="8" s="1"/>
  <c r="F8" i="11"/>
  <c r="F27" i="6"/>
  <c r="AF31" i="5"/>
  <c r="H11" i="11"/>
  <c r="H7" i="11"/>
  <c r="H26" i="9"/>
  <c r="H18" i="6"/>
  <c r="H12" i="11"/>
  <c r="AF30" i="5"/>
  <c r="H24" i="6"/>
  <c r="H12" i="2"/>
  <c r="H17" i="2"/>
  <c r="H11" i="2"/>
  <c r="H25" i="6" l="1"/>
  <c r="H26" i="6" s="1"/>
  <c r="F28" i="8"/>
  <c r="F56" i="11"/>
  <c r="F28" i="11"/>
  <c r="F37" i="8"/>
  <c r="F35" i="6"/>
  <c r="F14" i="2"/>
  <c r="F40" i="7"/>
  <c r="F13" i="2"/>
  <c r="F34" i="11"/>
  <c r="H27" i="9"/>
  <c r="H28" i="9"/>
  <c r="H32" i="9" s="1"/>
  <c r="G8" i="11"/>
  <c r="G6" i="8"/>
  <c r="G21" i="8" s="1"/>
  <c r="G27" i="6"/>
  <c r="G29" i="6"/>
  <c r="H6" i="8" l="1"/>
  <c r="H21" i="8" s="1"/>
  <c r="H27" i="6"/>
  <c r="H8" i="11"/>
  <c r="H29" i="6"/>
  <c r="G33" i="2"/>
  <c r="G35" i="6"/>
  <c r="G14" i="2"/>
  <c r="G34" i="11"/>
  <c r="G13" i="2"/>
  <c r="F57" i="11"/>
  <c r="F35" i="11"/>
  <c r="F51" i="11"/>
  <c r="F15" i="2"/>
  <c r="F42" i="7"/>
  <c r="F52" i="11"/>
  <c r="G40" i="7"/>
  <c r="F23" i="11"/>
  <c r="F9" i="11"/>
  <c r="G28" i="8"/>
  <c r="G28" i="11"/>
  <c r="G37" i="8"/>
  <c r="H39" i="9"/>
  <c r="H37" i="9"/>
  <c r="H34" i="9"/>
  <c r="H43" i="9" s="1"/>
  <c r="F29" i="11"/>
  <c r="F30" i="11"/>
  <c r="F18" i="2"/>
  <c r="F29" i="8"/>
  <c r="F33" i="2"/>
  <c r="H40" i="9" l="1"/>
  <c r="H44" i="9" s="1"/>
  <c r="G29" i="11"/>
  <c r="G18" i="2"/>
  <c r="G30" i="11"/>
  <c r="G29" i="8"/>
  <c r="G35" i="11"/>
  <c r="G15" i="2"/>
  <c r="H40" i="7"/>
  <c r="G42" i="7"/>
  <c r="G23" i="11"/>
  <c r="H9" i="11"/>
  <c r="H34" i="11"/>
  <c r="H33" i="2"/>
  <c r="H35" i="6"/>
  <c r="H14" i="2"/>
  <c r="H13" i="2"/>
  <c r="F29" i="2"/>
  <c r="F43" i="7"/>
  <c r="G9" i="11"/>
  <c r="H45" i="9"/>
  <c r="H46" i="9" s="1"/>
  <c r="H61" i="9"/>
  <c r="H62" i="9"/>
  <c r="H63" i="9"/>
  <c r="H28" i="8"/>
  <c r="H28" i="11"/>
  <c r="H37" i="8"/>
  <c r="H29" i="11" l="1"/>
  <c r="H30" i="11"/>
  <c r="H18" i="2"/>
  <c r="H29" i="8"/>
  <c r="G29" i="2"/>
  <c r="G43" i="7"/>
  <c r="H42" i="7"/>
  <c r="H23" i="11"/>
  <c r="F46" i="7"/>
  <c r="F7" i="7"/>
  <c r="H64" i="9"/>
  <c r="H49" i="9"/>
  <c r="H38" i="2"/>
  <c r="H15" i="2"/>
  <c r="H35" i="11"/>
  <c r="F12" i="7" l="1"/>
  <c r="F25" i="11"/>
  <c r="F32" i="2"/>
  <c r="F30" i="2"/>
  <c r="F55" i="11"/>
  <c r="F54" i="11"/>
  <c r="H29" i="2"/>
  <c r="H43" i="7"/>
  <c r="G7" i="7"/>
  <c r="G46" i="7"/>
  <c r="H46" i="7" l="1"/>
  <c r="H7" i="7"/>
  <c r="G25" i="11"/>
  <c r="G12" i="7"/>
  <c r="G32" i="2"/>
  <c r="G30" i="2"/>
  <c r="F21" i="7"/>
  <c r="F45" i="7"/>
  <c r="F47" i="7" s="1"/>
  <c r="F24" i="11"/>
  <c r="G45" i="7" l="1"/>
  <c r="G47" i="7" s="1"/>
  <c r="G21" i="7"/>
  <c r="G24" i="11"/>
  <c r="F28" i="2"/>
  <c r="F22" i="11"/>
  <c r="F34" i="2"/>
  <c r="F10" i="11"/>
  <c r="H25" i="11"/>
  <c r="H50" i="9"/>
  <c r="H32" i="2"/>
  <c r="H12" i="7"/>
  <c r="H30" i="2"/>
  <c r="H45" i="7" l="1"/>
  <c r="H47" i="7" s="1"/>
  <c r="H21" i="7"/>
  <c r="H24" i="11"/>
  <c r="H65" i="9"/>
  <c r="H54" i="9"/>
  <c r="G28" i="2"/>
  <c r="G22" i="11"/>
  <c r="G34" i="2"/>
  <c r="G10" i="11"/>
  <c r="H56" i="9" l="1"/>
  <c r="H68" i="9"/>
  <c r="H39" i="2"/>
  <c r="H28" i="2"/>
  <c r="H22" i="11"/>
  <c r="H34" i="2"/>
  <c r="H10" i="11"/>
  <c r="H69" i="9" l="1"/>
  <c r="H37" i="2"/>
</calcChain>
</file>

<file path=xl/sharedStrings.xml><?xml version="1.0" encoding="utf-8"?>
<sst xmlns="http://schemas.openxmlformats.org/spreadsheetml/2006/main" count="1108" uniqueCount="697">
  <si>
    <t>Intel Corporation (NASDAQ: INTC)</t>
  </si>
  <si>
    <t>Investment Bank-Grade Financial Model</t>
  </si>
  <si>
    <t>Segment-Driven, Three-Statement Linked DCF</t>
  </si>
  <si>
    <t>Model Date: May 7, 2026 | Forecast Horizon: FY2026E - FY2028E</t>
  </si>
  <si>
    <t>Company</t>
  </si>
  <si>
    <t>Intel Corporation (INTC)</t>
  </si>
  <si>
    <t>Sector</t>
  </si>
  <si>
    <t>Semiconductors</t>
  </si>
  <si>
    <t>Headquarters</t>
  </si>
  <si>
    <t>Santa Clara, CA, USA</t>
  </si>
  <si>
    <t>Fiscal Year</t>
  </si>
  <si>
    <t>Ends last Saturday of December (52/53-week year)</t>
  </si>
  <si>
    <t>Reporting Segments</t>
  </si>
  <si>
    <t>CCG, DCAI, Intel Foundry, All Other (Mobileye + IMS + Other)</t>
  </si>
  <si>
    <t>Scenario Selector</t>
  </si>
  <si>
    <t>Assumptions tab, Cell B2 (Base / Bull / Bear)</t>
  </si>
  <si>
    <t>Model Architecture</t>
  </si>
  <si>
    <t>11 tabs: Cover -&gt; Key_Summary -&gt; Assumptions -&gt; Growth_Drivers -&gt; Segment_PL -&gt; Consolidated_PL -&gt; BS -&gt; Cash_Flow -&gt; DCF -&gt; Sensitivity -&gt; Ratio_Analysis</t>
  </si>
  <si>
    <t>Key Data Sources</t>
  </si>
  <si>
    <t>Intel 10-K filings (FY2022-FY2025), Q1 2026 10-Q, Q1 2026 Earnings Call (Apr 23, 2026)</t>
  </si>
  <si>
    <t>Assumptions Date</t>
  </si>
  <si>
    <t>May 7, 2026 (intc_assumptions.md)</t>
  </si>
  <si>
    <t>Financial Data</t>
  </si>
  <si>
    <t>intc_financial_data.md (extracted from SEC filings)</t>
  </si>
  <si>
    <t>Segment Structure Note:</t>
  </si>
  <si>
    <t xml:space="preserve">  - Effective Q1 2025: NEX (Network &amp; Edge) integrated into CCG and DCAI; Altera deconsolidated Sep 12, 2025 (51% sold to SLP).</t>
  </si>
  <si>
    <t xml:space="preserve">  - FY2023-FY2025 segment data is RESTATED to current 4-segment structure per 2025 10-K Note 3.</t>
  </si>
  <si>
    <t xml:space="preserve">  - Historical data from old structure (with NEX) is available in 2024 10-K for reference but NOT used in this model.</t>
  </si>
  <si>
    <t xml:space="preserve">  - Mobileye remains consolidated (~77% Intel ownership). Q1 2026: $3.9B goodwill impairment at Mobileye.</t>
  </si>
  <si>
    <t xml:space="preserve">  - Ireland SCIP (Fab 34) 49% NCI bought out April 2026 (~$14.2B). Arizona SCIP 49% NCI remains.</t>
  </si>
  <si>
    <t>Usage Instructions:</t>
  </si>
  <si>
    <t>1. Select scenario in Assumptions tab cell B2 (Base / Bull / Bear). All tabs update automatically.</t>
  </si>
  <si>
    <t>2. Edit blue-fill cells in Assumptions tab to customize forecasts.</t>
  </si>
  <si>
    <t>3. Check yellow-highlighted cross-validation rows (Segment_PL, BS) — both must read 0 difference.</t>
  </si>
  <si>
    <t>4. DCF tab computes implied share price. Sensitivity tab provides WACC x g matrix.</t>
  </si>
  <si>
    <t>5. Key_Summary tab gives executive overview; Ratio_Analysis tab provides detailed metrics.</t>
  </si>
  <si>
    <t>6. All green-font cells are cross-sheet links (do not edit). Blue-font cells are historical data.</t>
  </si>
  <si>
    <t>DISCLAIMER:</t>
  </si>
  <si>
    <t>This model is for educational / analytical purposes only. It does not constitute investment advice.</t>
  </si>
  <si>
    <t>Forecasts are based on publicly available information and assumptions documented in intc_assumptions.md.</t>
  </si>
  <si>
    <t>Actual results may differ materially. Refer to Intel's SEC filings for official financial information.</t>
  </si>
  <si>
    <t>Model generated programmatically via Python openpyxl (build_intc_model.py).</t>
  </si>
  <si>
    <t>Intel (INTC) - Key Summary &amp; Executive Dashboard</t>
  </si>
  <si>
    <t>USD Million (except per-share data)</t>
  </si>
  <si>
    <t xml:space="preserve">Scenario: </t>
  </si>
  <si>
    <t>Key Performance Indicators</t>
  </si>
  <si>
    <t>2023A</t>
  </si>
  <si>
    <t>2024A</t>
  </si>
  <si>
    <t>2025A</t>
  </si>
  <si>
    <t>2026E</t>
  </si>
  <si>
    <t>2027E</t>
  </si>
  <si>
    <t>2028E</t>
  </si>
  <si>
    <t>Notes</t>
  </si>
  <si>
    <t xml:space="preserve">  Total Revenue ($M)</t>
  </si>
  <si>
    <t xml:space="preserve">    YoY Growth %</t>
  </si>
  <si>
    <t xml:space="preserve">  Gross Profit ($M)</t>
  </si>
  <si>
    <t xml:space="preserve">    Gross Margin %</t>
  </si>
  <si>
    <t xml:space="preserve">  EBIT ($M)</t>
  </si>
  <si>
    <t xml:space="preserve">    EBIT Margin %</t>
  </si>
  <si>
    <t xml:space="preserve">  Net Income to Intel ($M)</t>
  </si>
  <si>
    <t xml:space="preserve">    Net Margin %</t>
  </si>
  <si>
    <t xml:space="preserve">  Diluted EPS ($)</t>
  </si>
  <si>
    <t xml:space="preserve">  D&amp;A ($M)</t>
  </si>
  <si>
    <t xml:space="preserve">  EBITDA ($M)</t>
  </si>
  <si>
    <t xml:space="preserve">  FCF ($M)</t>
  </si>
  <si>
    <t>Revenue by Segment ($M)</t>
  </si>
  <si>
    <t xml:space="preserve">  CCG</t>
  </si>
  <si>
    <t xml:space="preserve">  DCAI</t>
  </si>
  <si>
    <t xml:space="preserve">  Intel Foundry</t>
  </si>
  <si>
    <t xml:space="preserve">  All Other</t>
  </si>
  <si>
    <t xml:space="preserve">  Total Consolidated</t>
  </si>
  <si>
    <t>Balance Sheet Highlights ($M)</t>
  </si>
  <si>
    <t xml:space="preserve">  Total Assets</t>
  </si>
  <si>
    <t xml:space="preserve">  Total Equity</t>
  </si>
  <si>
    <t xml:space="preserve">  Cash + Securities</t>
  </si>
  <si>
    <t xml:space="preserve">  Total Debt</t>
  </si>
  <si>
    <t xml:space="preserve">  Net Cash / (Debt)</t>
  </si>
  <si>
    <t xml:space="preserve">  ROE</t>
  </si>
  <si>
    <t xml:space="preserve">  ROA</t>
  </si>
  <si>
    <t>DCF Valuation Output</t>
  </si>
  <si>
    <t xml:space="preserve">  Implied Share Price ($)</t>
  </si>
  <si>
    <t>Base case DCF output. See Sensitivity tab for range.</t>
  </si>
  <si>
    <t xml:space="preserve">  Enterprise Value ($M)</t>
  </si>
  <si>
    <t xml:space="preserve">  Equity Value ($M)</t>
  </si>
  <si>
    <t>Investment Highlights</t>
  </si>
  <si>
    <t>1. CPU Renaissance: DCAI benefiting from AI inference shift toward CPUs (CPU:GPU ratio 1:8-&gt;1:1)</t>
  </si>
  <si>
    <t>2. 18A Ramp: Ahead of internal yield targets; volume up 6-7x in Q2 2026 vs Q1</t>
  </si>
  <si>
    <t>3. Foundry Losses Narrowing: -58% OPM (FY2025) -&gt; -22% (FY2028E Base) as 18A matures</t>
  </si>
  <si>
    <t>4. Gross Margin Recovery: 34.8% (FY2025) -&gt; 43.5% (FY2028E Base) driven by yield + pricing</t>
  </si>
  <si>
    <t>5. Supply Constraints Easing: Undershipping demand by ~$1B; tool spending up 25% to address</t>
  </si>
  <si>
    <t>6. Fab 34 Buyout: April 2026 ~$14.2B repurchase of Ireland SCIP stake; removes $135M/q NCI drag</t>
  </si>
  <si>
    <t>7. No Dividends: Suspended; priority is debt reduction and CapEx</t>
  </si>
  <si>
    <t>8. Warrant Overhang: 241M shares @ $20 strike if Foundry ownership &lt;51% (NOT in base case)</t>
  </si>
  <si>
    <t>Key Risks</t>
  </si>
  <si>
    <t>1. 18A yield improvement stalls; Foundry losses remain &gt;40% OPM through FY2028</t>
  </si>
  <si>
    <t>2. PC TAM declines &gt;15% (recession scenario); CCG revenue headwinds</t>
  </si>
  <si>
    <t>3. AMD Turin / ARM CPUs erode DCAI market position</t>
  </si>
  <si>
    <t>4. External foundry customers do not materialize; Intel remains captive fab</t>
  </si>
  <si>
    <t>5. Debt load (~$50B) constrains strategic flexibility if FCF remains negative</t>
  </si>
  <si>
    <t>6. Valuation allowance on US DTAs ($9.9B) means losses generate no tax benefit</t>
  </si>
  <si>
    <t>7. WACC sensitivity: each 1% change in WACC moves implied price ~$5-7</t>
  </si>
  <si>
    <t>DATA LEGEND</t>
  </si>
  <si>
    <t xml:space="preserve">  Blue font: Historical hardcoded data</t>
  </si>
  <si>
    <t xml:space="preserve">  Green font: Cross-sheet link</t>
  </si>
  <si>
    <t xml:space="preserve">  Blue fill + dark font: Editable assumption</t>
  </si>
  <si>
    <t xml:space="preserve">  Yellow fill: Key output row</t>
  </si>
  <si>
    <t xml:space="preserve">  Black font: Formula / calculated cell</t>
  </si>
  <si>
    <t xml:space="preserve">  Grey italic: Memo / percentage row</t>
  </si>
  <si>
    <t>DATA SOURCES</t>
  </si>
  <si>
    <t xml:space="preserve">  - 2022-2025 10-Ks: Consolidated P&amp;L, Balance Sheet, Cash Flow, Segment data</t>
  </si>
  <si>
    <t xml:space="preserve">  - 2026 Q1 10-Q: Q1 2026 vs Q1 2025 segment + consolidated data</t>
  </si>
  <si>
    <t xml:space="preserve">  - Q1 2026 Earnings Call (Apr 23, 2026): FY2026 management guidance</t>
  </si>
  <si>
    <t xml:space="preserve">  - intc_assumptions.md: All forecast assumptions with scenario narratives</t>
  </si>
  <si>
    <t xml:space="preserve">  - Bloomberg / Damodaran / FRED: WACC inputs (Rf, ERP, Beta) as of May 2026</t>
  </si>
  <si>
    <t>Intel (INTC) - Assumptions &amp; Scenario Design (Quarterly)</t>
  </si>
  <si>
    <t>Scenario:</t>
  </si>
  <si>
    <t>Base</t>
  </si>
  <si>
    <t>Q1'23A</t>
  </si>
  <si>
    <t>Q2'23A</t>
  </si>
  <si>
    <t>Q3'23A</t>
  </si>
  <si>
    <t>Q4'23A</t>
  </si>
  <si>
    <t>FY2023A</t>
  </si>
  <si>
    <t>Q1'24A</t>
  </si>
  <si>
    <t>Q2'24A</t>
  </si>
  <si>
    <t>Q3'24A</t>
  </si>
  <si>
    <t>Q4'24A</t>
  </si>
  <si>
    <t>FY2024A</t>
  </si>
  <si>
    <t>Q1'25A</t>
  </si>
  <si>
    <t>Q2'25A</t>
  </si>
  <si>
    <t>Q3'25A</t>
  </si>
  <si>
    <t>Q4'25A</t>
  </si>
  <si>
    <t>FY2025A</t>
  </si>
  <si>
    <t>Q1'26E</t>
  </si>
  <si>
    <t>Q2'26E</t>
  </si>
  <si>
    <t>Q3'26E</t>
  </si>
  <si>
    <t>Q4'26E</t>
  </si>
  <si>
    <t>FY2026E</t>
  </si>
  <si>
    <t>Q1'27E</t>
  </si>
  <si>
    <t>Q2'27E</t>
  </si>
  <si>
    <t>Q3'27E</t>
  </si>
  <si>
    <t>Q4'27E</t>
  </si>
  <si>
    <t>FY2027E</t>
  </si>
  <si>
    <t>Q1'28E</t>
  </si>
  <si>
    <t>Q2'28E</t>
  </si>
  <si>
    <t>Q3'28E</t>
  </si>
  <si>
    <t>Q4'28E</t>
  </si>
  <si>
    <t>FY2028E</t>
  </si>
  <si>
    <t>CCG Bottom-Up Drivers: Revenue = PC TAM x Intel Share x ASP</t>
  </si>
  <si>
    <t>PC TAM (M units) - Source: Gartner/IDC</t>
  </si>
  <si>
    <t xml:space="preserve">  Base</t>
  </si>
  <si>
    <t xml:space="preserve">  Bull</t>
  </si>
  <si>
    <t xml:space="preserve">  Bear</t>
  </si>
  <si>
    <t xml:space="preserve">  SELECTED</t>
  </si>
  <si>
    <t>Annual TAM split equally across 4 quarters (edit individual quarters as needed). Gartner: 2023=241.8M, 2024=245.4M, 2025~259M.</t>
  </si>
  <si>
    <t>Intel PC Unit Share (%) - Source: Mercury Research</t>
  </si>
  <si>
    <t>Mercury est: ~72%. 18A products competitive; share recovery assumed. Edit quarterly for seasonal patterns.</t>
  </si>
  <si>
    <t>Intel CCG Blended ASP ($) - Derived from Rev/(TAMxShare)</t>
  </si>
  <si>
    <t>FY2025 ASP depressed. Q1 2026 +16% YoY. Base: ASP recovery + premium mix. Edit quarterly for product launch timing.</t>
  </si>
  <si>
    <t>DCAI Bottom-Up Drivers: CPU Rev = Server TAM x Share x ASP + AI/ASIC Rev</t>
  </si>
  <si>
    <t>Server TAM (M units) - Source: IDC</t>
  </si>
  <si>
    <t>IDC: 2023=11.5M, 2024=12.0M, 2025~13.5M. AI buildout driving growth. Equal quarterly allocation (edit for seasonality).</t>
  </si>
  <si>
    <t>Intel DC Server Unit Share (%) - Source: Mercury Research</t>
  </si>
  <si>
    <t>Mercury: Q4'24 ~72%. Granite Rapids improving; AMD Turin competitive. Base: share stabilizes.</t>
  </si>
  <si>
    <t>Intel Server Blended ASP ($) - Derived from CPU Rev/(TAMxShare)</t>
  </si>
  <si>
    <t>FY2025 ASP depressed. Q1 2026 +27% YoY. Base: premium mix recovery. Edit quarterly for product cycle effects.</t>
  </si>
  <si>
    <t>AI/ASIC &amp; Other Revenue ($M) - Gaudi, ASICs, NICs, IPUs</t>
  </si>
  <si>
    <t>ASIC run rate 'north of $1B' Q1 2026. Gaudi modest. Edit quarterly for customer ramp timing.</t>
  </si>
  <si>
    <t>Intel Foundry Bottom-Up Drivers: Internal Rev = Total Chip Vol x Rev/Chip + External</t>
  </si>
  <si>
    <t>Internal Foundry Rev per Chip ($/unit) - Internal Foundry Rev / Total Intel Units</t>
  </si>
  <si>
    <t>Declining trend stabilizes as 18A premium wafers ramp. Edit quarterly for node transition effects.</t>
  </si>
  <si>
    <t>External Foundry Revenue ($M) - 3rd-party wafer customers</t>
  </si>
  <si>
    <t>~$150M FY2025. Growing as 18A/14A external PDK ramps. Edit quarterly for customer win timing.</t>
  </si>
  <si>
    <t>All Other Bottom-Up Drivers: Mobileye (LV Prod x Rev/Veh) + IMS/Other</t>
  </si>
  <si>
    <t>Global Light Vehicle Production (M units) - Source: IHS/S&amp;P Global Mobility</t>
  </si>
  <si>
    <t>IHS/S&amp;P Global Mobility. FY2025 ~87M. Modest recovery in Base case.</t>
  </si>
  <si>
    <t>Mobileye Rev per Vehicle ($/vehicle) - Derived from Mobileye Rev / LV Production</t>
  </si>
  <si>
    <t>FY2025 Mobileye $1.9B / 87M = $21.8. Q1 2026 $628M. Base: conservatively ~$19.</t>
  </si>
  <si>
    <t>IMS &amp; Other Revenue ($M) - IMS nanofabrication tools + legacy businesses</t>
  </si>
  <si>
    <t>IMS multi-beam mask writers. FY2023-24 include Altera (deconsolidated Sep 2025).</t>
  </si>
  <si>
    <t>Segment Operating Margin Assumptions</t>
  </si>
  <si>
    <t>CCG Operating Margin (%)</t>
  </si>
  <si>
    <t>Q1 32.6% moderated by 18A ramp costs. Edit quarterly for product launch margin impact.</t>
  </si>
  <si>
    <t>DCAI Operating Margin (%)</t>
  </si>
  <si>
    <t>Sustains near Q1 30.5% level; ASIC supports margins.</t>
  </si>
  <si>
    <t>Intel Foundry Operating Margin (%)</t>
  </si>
  <si>
    <t>18A yield improvement + volume absorption. Still unprofitable; multi-year journey.</t>
  </si>
  <si>
    <t>All Other Operating Margin (%)</t>
  </si>
  <si>
    <t>Mobileye gradual recovery + IMS growth.</t>
  </si>
  <si>
    <t>Consolidated Cost Structure (% of Revenue)</t>
  </si>
  <si>
    <t>COGS as % of Revenue (=&gt; GM% = 1 - COGS%)</t>
  </si>
  <si>
    <t>Base GM: 38.5%/41.0%/43.5%. Q1 39.4% base; 18A mix headwind offset by yield gains.</t>
  </si>
  <si>
    <t>R&amp;D as % of Revenue</t>
  </si>
  <si>
    <t>~$14.5B absolute in FY2026E; declining as % of growing revenue.</t>
  </si>
  <si>
    <t>MG&amp;A as % of Revenue</t>
  </si>
  <si>
    <t>~$4.5B flat absolute in FY2026E; declining as % of revenue.</t>
  </si>
  <si>
    <t>Annual Parameters (Non-Quarterly)</t>
  </si>
  <si>
    <t>D&amp;A ($M absolute)</t>
  </si>
  <si>
    <t>Q1 annualised ~$12.5B; CIP-&gt;in-service driving growth.</t>
  </si>
  <si>
    <t>SBC ($M absolute)</t>
  </si>
  <si>
    <t>Q1 2026 annualised ~$2.5B. Scenario-independent.</t>
  </si>
  <si>
    <t>Restructuring &amp; Other Charges ($M)</t>
  </si>
  <si>
    <t>Winding down; plans substantially complete.</t>
  </si>
  <si>
    <t>Capital Expenditure ($M Gross)</t>
  </si>
  <si>
    <t>FY2026E flat YoY per mgmt guidance; tool-heavy.</t>
  </si>
  <si>
    <t>AR Days</t>
  </si>
  <si>
    <t>Historical range 22-27 days.</t>
  </si>
  <si>
    <t>AP Days</t>
  </si>
  <si>
    <t>Normalised from FY2024 peak (vendor terms).</t>
  </si>
  <si>
    <t>Inventory Days</t>
  </si>
  <si>
    <t>Remarkably stable at ~124 days.</t>
  </si>
  <si>
    <t>Accrued Comp % of Revenue</t>
  </si>
  <si>
    <t>Midpoint of historical range.</t>
  </si>
  <si>
    <t>Other CA % of Revenue</t>
  </si>
  <si>
    <t>Includes ~$7.5B refundable tax credits.</t>
  </si>
  <si>
    <t>Other CL % of Revenue</t>
  </si>
  <si>
    <t>Stable relationship.</t>
  </si>
  <si>
    <t>Income Tax Payable % of Revenue</t>
  </si>
  <si>
    <t>Normalised level.</t>
  </si>
  <si>
    <t>Total Debt ($M)</t>
  </si>
  <si>
    <t>FY2026E: +$6.5B Fab34 loan -$2.5B maturities.</t>
  </si>
  <si>
    <t>Basic Shares (M)</t>
  </si>
  <si>
    <t>Q1 5,023M + ESPP/RSU + Escrowed Share releases.</t>
  </si>
  <si>
    <t>DPS ($/share)</t>
  </si>
  <si>
    <t>Dividends suspended; no reinstatement expected.</t>
  </si>
  <si>
    <t>Net Equity Issuance ($M)</t>
  </si>
  <si>
    <t>ESPP proceeds net of RSU withholdings.</t>
  </si>
  <si>
    <t>Effective Tax Rate</t>
  </si>
  <si>
    <t>Anchored to Q2 2026 guided 11%. FY2026E/FY2027E/FY2028E.</t>
  </si>
  <si>
    <t>Interest &amp; Other, Net ($M)</t>
  </si>
  <si>
    <t>Net interest on ~$50B debt (~5% coupon).</t>
  </si>
  <si>
    <t>Non-Controlling Interests ($M)</t>
  </si>
  <si>
    <t>Per mgmt: ~$250M/q Q2-Q4 FY2026E; Ireland SCIP NCI eliminated Apr 2026.</t>
  </si>
  <si>
    <t>Corporate Unallocated ($M)</t>
  </si>
  <si>
    <t>Declining restructuring + SBC reallocation.</t>
  </si>
  <si>
    <t>Intersegment Eliminations ($M)</t>
  </si>
  <si>
    <t>Residual inter-segment elim.</t>
  </si>
  <si>
    <t>Intel (INTC) - Revenue Growth Drivers (Quarterly All Years)</t>
  </si>
  <si>
    <t>USD Million / M Units / $ per Unit (All 6 years quarterly: Q1-Q4 + FY rollup)</t>
  </si>
  <si>
    <t>Selected</t>
  </si>
  <si>
    <t>Bottom-up revenue decomposition. Hist: quarterly from 10-Q/estimates. Fcst: quarterly from Assumptions/4, annual=SUM.</t>
  </si>
  <si>
    <t>Annual columns (F,K,P,V,AA,AF) link to Segment_PL for forecast years. Quarterly splits equal-weighted unless noted.</t>
  </si>
  <si>
    <t>CCG: Client Computing Group — Bottom-Up</t>
  </si>
  <si>
    <t>Method: Revenue = PC TAM (M units) x Intel Unit Share (%) x Blended ASP ($)</t>
  </si>
  <si>
    <t>TAM source: Gartner/IDC. Share: Mercury Research. ASP derived. Q1'25 CCG=$7,629M, Q1'26 CCG=$7,727M actual.</t>
  </si>
  <si>
    <t>PC TAM (M units)</t>
  </si>
  <si>
    <t>Annual TAM split equally across 4 quarters. FY2025 ~259M (Canalys est.)</t>
  </si>
  <si>
    <t>Intel PC Unit Share (%)</t>
  </si>
  <si>
    <t>Quarterly share = annual assumption (stable intra-year). Mercury Research est. ~72%</t>
  </si>
  <si>
    <t xml:space="preserve">  Intel Implied Units (M)</t>
  </si>
  <si>
    <t xml:space="preserve"> PC TAM x Intel Share. Implied unit shipments per quarter</t>
  </si>
  <si>
    <t>Intel CCG Blended ASP ($)</t>
  </si>
  <si>
    <t>Quarterly ASP = annual assumption. Q1 2026 ASP +16% YoY. Historical derived from Rev/(TAMxShare)</t>
  </si>
  <si>
    <t xml:space="preserve">  Implied CCG Revenue ($M)</t>
  </si>
  <si>
    <t xml:space="preserve"> Units x ASP. Bottom-up quarterly revenue. Annual = SUM(Q1:Q4) -&gt; links to Segment_PL</t>
  </si>
  <si>
    <t xml:space="preserve">  Reported CCG Revenue ($M)</t>
  </si>
  <si>
    <t>Historical: links to Segment_PL (10-K) split quarterly; Q1'25, Q4'25, Q1'26 have actuals. Forecast: = Implied bottom-up</t>
  </si>
  <si>
    <t xml:space="preserve">  Reconciliation: Implied - Reported ($M, annual)</t>
  </si>
  <si>
    <t>Should be near-zero for historical (&lt;0.1%). Forecast: flags assumption inconsistency</t>
  </si>
  <si>
    <t xml:space="preserve">  Reconcil. as % of Reported</t>
  </si>
  <si>
    <t>Green if &lt;1%</t>
  </si>
  <si>
    <t>DCAI: Data Center &amp; AI — Bottom-Up</t>
  </si>
  <si>
    <t>Method: Revenue = Server TAM (M) x Intel DC Share (%) x ASP ($) + AI/ASIC ($M)</t>
  </si>
  <si>
    <t>TAM: IDC. Share: Mercury Research. AI/ASIC: Gaudi+custom ASICs+NICs/IPUs. Q1'25 DCAI=$4,126M, Q1'26 DCAI=$5,052M actual.</t>
  </si>
  <si>
    <t>Server TAM (M units)</t>
  </si>
  <si>
    <t>Annual Server TAM split equally across 4 quarters. IDC: 2025 ~13.5M</t>
  </si>
  <si>
    <t>Intel DC Server Unit Share (%)</t>
  </si>
  <si>
    <t>Quarterly share = annual assumption. Granite Rapids competitive vs Turin. ~72% Q4'24</t>
  </si>
  <si>
    <t xml:space="preserve">  Intel Implied DC Units (M)</t>
  </si>
  <si>
    <t xml:space="preserve"> Server TAM x Intel DC Share. Implied quarterly unit shipments</t>
  </si>
  <si>
    <t>Intel Server Blended ASP ($)</t>
  </si>
  <si>
    <t>Quarterly ASP = annual assumption. Q1 2026 ASP +27% YoY. Historical: (Rev-AI/ASIC)/(TAMxShare)</t>
  </si>
  <si>
    <t xml:space="preserve">  Implied CPU Revenue ($M)</t>
  </si>
  <si>
    <t xml:space="preserve"> DC Units x Server ASP. Core x86 server CPU revenue</t>
  </si>
  <si>
    <t>AI/ASIC &amp; Other Revenue ($M)</t>
  </si>
  <si>
    <t>Gaudi AI accelerators + custom ASICs + NICs/IPUs. FY2025 ~$800M. Q1'26 ASIC run rate &gt;$1B</t>
  </si>
  <si>
    <t xml:space="preserve">  Implied DCAI Revenue ($M)</t>
  </si>
  <si>
    <t xml:space="preserve"> CPU Revenue + AI/ASIC Revenue. Bottom-up DCAI estimate. Annual = SUM(Q1:Q4)</t>
  </si>
  <si>
    <t xml:space="preserve">  Reported DCAI Revenue ($M)</t>
  </si>
  <si>
    <t>Historical: links to Segment_PL split quarterly. Forecast annual: = Implied</t>
  </si>
  <si>
    <t>Historical should be near-zero (&lt;0.5%). Forecast: flags driver vs growth-rate assumption divergence</t>
  </si>
  <si>
    <t>Intel Foundry — Bottom-Up</t>
  </si>
  <si>
    <t>Method: Revenue = Total Intel Chip Vol (M) x Internal Rev/Chip ($) + External Foundry ($M)</t>
  </si>
  <si>
    <t>~99% internal wafer sales to Intel Products. Chip vol = CCG + DCAI units.</t>
  </si>
  <si>
    <t>Total Intel Chip Volume (M units)</t>
  </si>
  <si>
    <t xml:space="preserve"> CCG Implied Units + DCAI Implied Units. Links to segment drivers above</t>
  </si>
  <si>
    <t>Internal Foundry Rev per Chip ($)</t>
  </si>
  <si>
    <t>Quarterly Rev/Chip = annual assumption. Historical derived from Internal Foundry Rev / Total Units</t>
  </si>
  <si>
    <t xml:space="preserve">  Internal Foundry Revenue ($M)</t>
  </si>
  <si>
    <t xml:space="preserve"> Total Chip Vol x Internal Rev/Chip. Wafer sales to Intel CCG/DCAI divisions</t>
  </si>
  <si>
    <t>External Foundry Revenue ($M)</t>
  </si>
  <si>
    <t>3rd-party wafer customers. FY2025 ~$150M. Growing as 18A/14A external PDK ramps</t>
  </si>
  <si>
    <t xml:space="preserve">  Implied Total Foundry Revenue ($M)</t>
  </si>
  <si>
    <t xml:space="preserve"> Internal Foundry Rev + External Foundry Rev</t>
  </si>
  <si>
    <t xml:space="preserve">  Reported Foundry Revenue ($M)</t>
  </si>
  <si>
    <t>Historical should be near-zero (&lt;0.1%). Forecast: flags driver vs growth-rate assumption divergence</t>
  </si>
  <si>
    <t>All Other: Mobileye + IMS + Legacy — Bottom-Up</t>
  </si>
  <si>
    <t>Method: Revenue = LV Production (M) x Mobileye Rev/Vehicle ($) + IMS &amp; Other ($M)</t>
  </si>
  <si>
    <t>Mobileye ADAS chips + IMS nanofab tools + legacy. Q1'25 All Other=$943M, Q1'26=$628M actual.</t>
  </si>
  <si>
    <t>Global Light Vehicle Production (M)</t>
  </si>
  <si>
    <t>IHS/S&amp;P Global Mobility. FY2025 ~87M. Equal quarterly allocation</t>
  </si>
  <si>
    <t>Mobileye Rev per Vehicle ($)</t>
  </si>
  <si>
    <t>Quarterly Rev/Veh = annual assumption. FY2025 Mobileye $1.9B / 87M LV = $21.8</t>
  </si>
  <si>
    <t xml:space="preserve">  Implied Mobileye Revenue ($M)</t>
  </si>
  <si>
    <t xml:space="preserve"> LV Production x Mobileye Rev/Vehicle. EyeQ + SuperVision/Chauffeur</t>
  </si>
  <si>
    <t>IMS &amp; Other Revenue ($M)</t>
  </si>
  <si>
    <t>IMS nanofabrication tools + legacy. FY2023-24 include Altera. Altera deconsolidated Sep 2025</t>
  </si>
  <si>
    <t xml:space="preserve">  Implied All Other Revenue ($M)</t>
  </si>
  <si>
    <t xml:space="preserve"> Mobileye Revenue + IMS &amp; Other. Annual = SUM(Q1:Q4)</t>
  </si>
  <si>
    <t xml:space="preserve">  Reported All Other Revenue ($M)</t>
  </si>
  <si>
    <t>Historical should be near-zero (&lt;1%). Forecast: flags driver vs growth-rate assumption divergence</t>
  </si>
  <si>
    <t>Driver Sensitivity: Revenue Elasticity (Annual Columns)</t>
  </si>
  <si>
    <t>Impact of isolated driver changes on annual implied revenue (Base case). Uses FY2026E annual column (V).</t>
  </si>
  <si>
    <t>References annual column V (FY2026E). Switch scenario in Assumptions!B2 to update.</t>
  </si>
  <si>
    <t>Driver</t>
  </si>
  <si>
    <t>FY2026E Value</t>
  </si>
  <si>
    <t>Change</t>
  </si>
  <si>
    <t>Rev Impact ($M)</t>
  </si>
  <si>
    <t>Impact %</t>
  </si>
  <si>
    <t xml:space="preserve">  CCG: PC TAM +1%</t>
  </si>
  <si>
    <t>PC TAM 1:1 elasticity with CCG revenue</t>
  </si>
  <si>
    <t xml:space="preserve">  CCG: Intel PC Share +1pp</t>
  </si>
  <si>
    <t>Most sensitive CCG driver. 1pp share = TAM x 1% x ASP</t>
  </si>
  <si>
    <t xml:space="preserve">  CCG: Blended ASP +$1</t>
  </si>
  <si>
    <t>$1 ASP change = Units x $1</t>
  </si>
  <si>
    <t xml:space="preserve">  DCAI: Server TAM +1%</t>
  </si>
  <si>
    <t>TAM elasticity applies to CPU revenue only</t>
  </si>
  <si>
    <t xml:space="preserve">  DCAI: DC Server Share +1pp</t>
  </si>
  <si>
    <t>Most sensitive DCAI driver</t>
  </si>
  <si>
    <t xml:space="preserve">  DCAI: Server ASP +$1</t>
  </si>
  <si>
    <t>$1 ASP change = DC Units x $1</t>
  </si>
  <si>
    <t xml:space="preserve">  DCAI: AI/ASIC +$100M</t>
  </si>
  <si>
    <t>100</t>
  </si>
  <si>
    <t>AI/ASIC passes through 1:1</t>
  </si>
  <si>
    <t xml:space="preserve">  Foundry: Total Chip Vol +1%</t>
  </si>
  <si>
    <t>Chip vol elasticity applies to internal Foundry only</t>
  </si>
  <si>
    <t xml:space="preserve">  Foundry: Internal Rev/Chip +$1</t>
  </si>
  <si>
    <t>$1 Rev/Chip x total units = material swing</t>
  </si>
  <si>
    <t xml:space="preserve">  All Other: LV Production +1%</t>
  </si>
  <si>
    <t>Auto production sensitivity</t>
  </si>
  <si>
    <t>Intel (INTC) - Segment P&amp;L (Revenue + Operating Income, Quarterly)</t>
  </si>
  <si>
    <t>USD Million (except margin %). Quarters Q1-Q4 with FY annual rollup.</t>
  </si>
  <si>
    <t>Segment revenue + OI quarterly. Forecast links to Growth_Drivers. Annual cols -&gt; Consolidated_PL.</t>
  </si>
  <si>
    <t>CCG - Client Computing Group</t>
  </si>
  <si>
    <t>Forecast: Links to Growth_Drivers implied revenue (pass 2). Annual = SUM(Q1:Q4).</t>
  </si>
  <si>
    <t>YoY Growth % on annual basis</t>
  </si>
  <si>
    <t xml:space="preserve">  Operating Income</t>
  </si>
  <si>
    <t>Forecast = Quarterly Revenue x Quarterly OPM% from Assumptions. Annual = SUM(Q1:Q4).</t>
  </si>
  <si>
    <t xml:space="preserve">  Operating Margin %</t>
  </si>
  <si>
    <t>DCAI - Data Center &amp; AI</t>
  </si>
  <si>
    <t>Intel Foundry</t>
  </si>
  <si>
    <t>All Other (Mobileye + IMS + Other)</t>
  </si>
  <si>
    <t>Corporate Unallocated</t>
  </si>
  <si>
    <t>Annual-only from Assumptions. Quarters blank (non-segment allocation).</t>
  </si>
  <si>
    <t>Sum of Segment Operating Income + Corp Unalloc</t>
  </si>
  <si>
    <t>KEY OUTPUT. Links to Consolidated_PL EBIT via annual columns.</t>
  </si>
  <si>
    <t>CROSS-CHECK: Sum Seg OI vs Consolidated EBIT (Annual)</t>
  </si>
  <si>
    <t xml:space="preserve">  Segment Sum OI (annual)</t>
  </si>
  <si>
    <t xml:space="preserve">  Consolidated_PL EBIT</t>
  </si>
  <si>
    <t>TODO: fill in pass 3 after Consolidated_PL built</t>
  </si>
  <si>
    <t xml:space="preserve">  Difference (MUST = 0)</t>
  </si>
  <si>
    <t>MUST = 0 - validates segment/consolidated linkage</t>
  </si>
  <si>
    <t>Memo: Total Segment Revenue (incl. internal Foundry, annual)</t>
  </si>
  <si>
    <t>Sum of 4 reported segments; Foundry ~99% internal -&gt; excluded from consolidated</t>
  </si>
  <si>
    <t>External Foundry Revenue (3rd-party only, annual)</t>
  </si>
  <si>
    <t>~1% of total Foundry revenue historically. Growing as 18A/14A external customers ramp</t>
  </si>
  <si>
    <t>Intersegment Eliminations (annual)</t>
  </si>
  <si>
    <t>Residual elim; Foundry~Products internal wafer sales excluded from consolidated</t>
  </si>
  <si>
    <t>TOTAL Consolidated Revenue (annual)</t>
  </si>
  <si>
    <t>Historical: 10-K actuals. Forecast: CCG+DCAI+ExtFoundry+AllOther+Elim. Links to Consolidated_PL.</t>
  </si>
  <si>
    <t xml:space="preserve">  CCG %</t>
  </si>
  <si>
    <t xml:space="preserve">  DCAI %</t>
  </si>
  <si>
    <t xml:space="preserve">  All Other %</t>
  </si>
  <si>
    <t xml:space="preserve">  External Foundry %</t>
  </si>
  <si>
    <t>External foundry only; internal wafer sales eliminated</t>
  </si>
  <si>
    <t xml:space="preserve">  Memo: Total Foundry / Seg Sum</t>
  </si>
  <si>
    <t>Shows Foundry scale relative to all segments</t>
  </si>
  <si>
    <t>Intel (INTC) - Consolidated Income Statement</t>
  </si>
  <si>
    <t>Cost structure by type. EBIT = Segment_PL Sum OI (segment-driven).</t>
  </si>
  <si>
    <t>Net Revenue</t>
  </si>
  <si>
    <t>&lt;- Segment_PL consolidated total</t>
  </si>
  <si>
    <t>Cost of Sales</t>
  </si>
  <si>
    <t xml:space="preserve"> Revenue x COGS% from Assumptions</t>
  </si>
  <si>
    <t>Gross Profit</t>
  </si>
  <si>
    <t xml:space="preserve"> Revenue - COGS</t>
  </si>
  <si>
    <t xml:space="preserve">  Gross Margin %</t>
  </si>
  <si>
    <t>Operating Expenses (by cost type)</t>
  </si>
  <si>
    <t>Research &amp; Development</t>
  </si>
  <si>
    <t xml:space="preserve"> Revenue x R&amp;D%</t>
  </si>
  <si>
    <t>Marketing, General &amp; Administrative</t>
  </si>
  <si>
    <t xml:space="preserve"> Revenue x MG&amp;A%</t>
  </si>
  <si>
    <t>Restructuring &amp; Other Charges</t>
  </si>
  <si>
    <t>From Assumptions; winding down</t>
  </si>
  <si>
    <t>Total OpEx (per cost rates)</t>
  </si>
  <si>
    <t xml:space="preserve"> R&amp;D + MG&amp;A + Restructuring (top-down cost build)</t>
  </si>
  <si>
    <t>EBIT - Segment-Driven</t>
  </si>
  <si>
    <t>EBIT (Operating Income)</t>
  </si>
  <si>
    <t>&lt;- Segment_PL Sum of Segment OI. SEGMENT-DRIVEN source of truth.</t>
  </si>
  <si>
    <t xml:space="preserve">  EBIT Margin %</t>
  </si>
  <si>
    <t xml:space="preserve">  Implied Total OpEx (GP - EBIT)</t>
  </si>
  <si>
    <t>Transparency: GP - EBIT. May differ from top-down OpEx above.</t>
  </si>
  <si>
    <t>Non-Operating Items</t>
  </si>
  <si>
    <t>Interest &amp; Other, Net</t>
  </si>
  <si>
    <t>Net interest expense on debt</t>
  </si>
  <si>
    <t>Gains/Losses on Equity Investments</t>
  </si>
  <si>
    <t>Unpredictable; set to 0 for forecast</t>
  </si>
  <si>
    <t>Income (Loss) Before Taxes</t>
  </si>
  <si>
    <t xml:space="preserve"> EBIT + Interest + Equity Gains</t>
  </si>
  <si>
    <t>Provision for (Benefit from) Taxes</t>
  </si>
  <si>
    <t>Tax on positive pretax only (valuation allowance shields US losses)</t>
  </si>
  <si>
    <t>Net Income (Loss)</t>
  </si>
  <si>
    <t xml:space="preserve"> Pretax - Tax</t>
  </si>
  <si>
    <t xml:space="preserve">  Net Income Margin %</t>
  </si>
  <si>
    <t>Less: Net Income Attributable to NCI</t>
  </si>
  <si>
    <t>NCI from Assumptions (AZ SCIP + Mobileye; Ireland SCIP eliminated Apr 2026)</t>
  </si>
  <si>
    <t>Net Income Attributable to Intel</t>
  </si>
  <si>
    <t xml:space="preserve"> NI - NCI. Key EPS driver.</t>
  </si>
  <si>
    <t>Memo Items</t>
  </si>
  <si>
    <t>D&amp;A (Memo)</t>
  </si>
  <si>
    <t>Reference for EBITDA calc</t>
  </si>
  <si>
    <t>SBC (Memo)</t>
  </si>
  <si>
    <t>Reference for CFO/FCF bridge</t>
  </si>
  <si>
    <t>Diluted Shares Outstanding (M)</t>
  </si>
  <si>
    <t>Basic shares from Assumptions; diluted approximates basic</t>
  </si>
  <si>
    <t>Diluted EPS ($)</t>
  </si>
  <si>
    <t xml:space="preserve"> NI to Intel / Shares. KEY OUTPUT</t>
  </si>
  <si>
    <t>Dividends per Share (Memo)</t>
  </si>
  <si>
    <t>Suspended; no reinstatement expected</t>
  </si>
  <si>
    <t>Intel (INTC) - Balance Sheet</t>
  </si>
  <si>
    <t>USD Million</t>
  </si>
  <si>
    <t>Cash = Total L&amp;E - Non-Cash Assets (plug). Balance check row must = 0.</t>
  </si>
  <si>
    <t>ASSETS</t>
  </si>
  <si>
    <t>Current Assets</t>
  </si>
  <si>
    <t>Cash and Cash Equivalents (PLUG)</t>
  </si>
  <si>
    <t>PLUG: = Total L&amp;E - all non-cash assets. Ensures A = L+E.</t>
  </si>
  <si>
    <t>Short-term Investments (Marketable Securities)</t>
  </si>
  <si>
    <t>TODO: Model as % of total cash or flat. Current: flat ~$24B assumption.</t>
  </si>
  <si>
    <t>Accounts Receivable, Net</t>
  </si>
  <si>
    <t xml:space="preserve"> Revenue x AR Days / 365</t>
  </si>
  <si>
    <t>Inventories</t>
  </si>
  <si>
    <t xml:space="preserve"> COGS x Inventory Days / 365</t>
  </si>
  <si>
    <t>Other Current Assets</t>
  </si>
  <si>
    <t xml:space="preserve"> Revenue x Other CA% (incl. refundable tax credits)</t>
  </si>
  <si>
    <t>Total Current Assets</t>
  </si>
  <si>
    <t xml:space="preserve"> Cash + Securities + AR + Inventory + Other CA</t>
  </si>
  <si>
    <t>Non-Current Assets</t>
  </si>
  <si>
    <t>Property, Plant &amp; Equipment, Net</t>
  </si>
  <si>
    <t xml:space="preserve"> Prior PP&amp;E + Gross CapEx - D&amp;A. Govt incentives not explicitly modelled (reducing gross PP&amp;E).</t>
  </si>
  <si>
    <t>Equity Investments</t>
  </si>
  <si>
    <t>Includes Altera 49% retained stake (equity method). Flat forecast.</t>
  </si>
  <si>
    <t>Goodwill</t>
  </si>
  <si>
    <t>Post-Q1 2026 $3.9B Mobileye impairment. Approx $20012M.</t>
  </si>
  <si>
    <t>Identified Intangible Assets, Net</t>
  </si>
  <si>
    <t>Amortising ~$500M/year</t>
  </si>
  <si>
    <t>Other Long-Term Assets</t>
  </si>
  <si>
    <t>Flat ~$7B assumption</t>
  </si>
  <si>
    <t>Total Non-Current Assets</t>
  </si>
  <si>
    <t>TOTAL ASSETS</t>
  </si>
  <si>
    <t>LIABILITIES &amp; EQUITY</t>
  </si>
  <si>
    <t>Current Liabilities</t>
  </si>
  <si>
    <t>Accounts Payable</t>
  </si>
  <si>
    <t xml:space="preserve"> COGS x AP Days / 365</t>
  </si>
  <si>
    <t>Accrued Compensation and Benefits</t>
  </si>
  <si>
    <t xml:space="preserve"> Revenue x Accrued Comp%</t>
  </si>
  <si>
    <t>Short-Term Debt</t>
  </si>
  <si>
    <t>Stable ~$2.5B assumption; commercial paper + current maturities</t>
  </si>
  <si>
    <t>Income Taxes Payable</t>
  </si>
  <si>
    <t xml:space="preserve"> Revenue x Tax Payable%</t>
  </si>
  <si>
    <t>Other Accrued Liabilities</t>
  </si>
  <si>
    <t xml:space="preserve"> Revenue x Other CL%</t>
  </si>
  <si>
    <t>Total Current Liabilities</t>
  </si>
  <si>
    <t>Non-Current Liabilities</t>
  </si>
  <si>
    <t>Long-Term Debt</t>
  </si>
  <si>
    <t xml:space="preserve"> Total Debt - ST Debt (from Assumptions)</t>
  </si>
  <si>
    <t>Other Long-Term Liabilities</t>
  </si>
  <si>
    <t>Flat ~$9.5B assumption. Includes tax, operating lease, other.</t>
  </si>
  <si>
    <t>Total Non-Current Liabilities</t>
  </si>
  <si>
    <t>TOTAL LIABILITIES</t>
  </si>
  <si>
    <t>Stockholders' Equity</t>
  </si>
  <si>
    <t>Total Intel Stockholders' Equity</t>
  </si>
  <si>
    <t xml:space="preserve"> Prior Equity + NI to Intel + SBC + Net Equity Issuance. Dividends = 0.</t>
  </si>
  <si>
    <t>Non-Controlling Interests</t>
  </si>
  <si>
    <t xml:space="preserve"> Prior NCI + P&amp;L NCI - estimated distributions (~$300M). AZ SCIP + Mobileye remain.</t>
  </si>
  <si>
    <t>Total Stockholders' Equity</t>
  </si>
  <si>
    <t>TOTAL LIABILITIES &amp; EQUITY</t>
  </si>
  <si>
    <t xml:space="preserve">  Total L&amp;E (from above)</t>
  </si>
  <si>
    <t xml:space="preserve">   Balance Check (A - L&amp;E) - MUST = 0</t>
  </si>
  <si>
    <t>MUST = 0 in all years. Validates BS integrity with cash plug.</t>
  </si>
  <si>
    <t>Intel (INTC) - Cash Flow Statement</t>
  </si>
  <si>
    <t>WC changes linked to BS deltas. CFO + CFI = FCF.</t>
  </si>
  <si>
    <t>Operating Activities</t>
  </si>
  <si>
    <t>&lt;- Consolidated_PL</t>
  </si>
  <si>
    <t>(+) Depreciation &amp; Amortization</t>
  </si>
  <si>
    <t>(+) Share-Based Compensation</t>
  </si>
  <si>
    <t>Deferred Taxes</t>
  </si>
  <si>
    <t>TODO: Model deferred tax. Set to 0 for now (valuation allowance limits).</t>
  </si>
  <si>
    <t>Other Non-Cash / Non-Recurring</t>
  </si>
  <si>
    <t>Restructuring charges, impairments, gains/losses, etc. Set to 0 for forecast.</t>
  </si>
  <si>
    <t>Working Capital Changes</t>
  </si>
  <si>
    <t xml:space="preserve">  Change in AR (-increase = outflow)</t>
  </si>
  <si>
    <t>Links to BS bs_ar</t>
  </si>
  <si>
    <t xml:space="preserve">  Change in Inventory (-increase = outflow)</t>
  </si>
  <si>
    <t>Links to BS bs_inventory</t>
  </si>
  <si>
    <t xml:space="preserve">  Change in Other CA (-increase = outflow)</t>
  </si>
  <si>
    <t>Links to BS bs_other_ca</t>
  </si>
  <si>
    <t xml:space="preserve">  Change in AP (+increase = inflow)</t>
  </si>
  <si>
    <t>Links to BS bs_ap</t>
  </si>
  <si>
    <t xml:space="preserve">  Change in Accrued Comp (+increase = inflow)</t>
  </si>
  <si>
    <t>Links to BS bs_accrued_comp</t>
  </si>
  <si>
    <t xml:space="preserve">  Change in Other CL (+increase = inflow)</t>
  </si>
  <si>
    <t>Links to BS bs_other_cl</t>
  </si>
  <si>
    <t xml:space="preserve">  Change in Tax Payable (+increase = inflow)</t>
  </si>
  <si>
    <t>Links to BS bs_tax_payable</t>
  </si>
  <si>
    <t>Net Cash from Operating Activities (CFO)</t>
  </si>
  <si>
    <t xml:space="preserve"> NI + D&amp;A + SBC + DeferredTax + OtherNonCash + Sum(WC Changes)</t>
  </si>
  <si>
    <t>Investing Activities</t>
  </si>
  <si>
    <t>Capital Expenditure (Gross CapEx)</t>
  </si>
  <si>
    <t>Gross CapEx (negative). From Assumptions.</t>
  </si>
  <si>
    <t xml:space="preserve">  CapEx / Revenue %</t>
  </si>
  <si>
    <t>Other Investing Activities, Net</t>
  </si>
  <si>
    <t>Govt incentives, divestitures, ST investment net. Set to 0 for forecast.</t>
  </si>
  <si>
    <t>Net Cash from Investing Activities (CFI)</t>
  </si>
  <si>
    <t>Free Cash Flow (FCF = CFO + CFI)</t>
  </si>
  <si>
    <t xml:space="preserve"> CFO + CFI. KEY OUTPUT.</t>
  </si>
  <si>
    <t xml:space="preserve">  FCF / Revenue %</t>
  </si>
  <si>
    <t>Financing Activities</t>
  </si>
  <si>
    <t>Net Change in Debt</t>
  </si>
  <si>
    <t>Change in Total Debt from Assumptions</t>
  </si>
  <si>
    <t>Net Equity Issuance / (Repurchase)</t>
  </si>
  <si>
    <t>ESPP proceeds net of RSU withholdings. FY2025 inflated by strategic placements.</t>
  </si>
  <si>
    <t>Dividends Paid</t>
  </si>
  <si>
    <t>Dividends suspended; = 0.</t>
  </si>
  <si>
    <t>Partner Contributions (SCIP) &amp; Other Financing</t>
  </si>
  <si>
    <t>AZ SCIP ongoing partner contributions. Ireland SCIP eliminated Apr 2026.</t>
  </si>
  <si>
    <t>Net Cash from Financing Activities (CFF)</t>
  </si>
  <si>
    <t>Net Increase (Decrease) in Cash</t>
  </si>
  <si>
    <t xml:space="preserve"> CFO + CFI + CFF</t>
  </si>
  <si>
    <t>Intel (INTC) - Discounted Cash Flow Valuation</t>
  </si>
  <si>
    <t>USD Million (except per-share data &amp; multiples)</t>
  </si>
  <si>
    <t>Year 1</t>
  </si>
  <si>
    <t>Year 2</t>
  </si>
  <si>
    <t>Year 3</t>
  </si>
  <si>
    <t>WACC Assumptions</t>
  </si>
  <si>
    <t>Risk-Free Rate (Rf)</t>
  </si>
  <si>
    <t>US 10Y Treasury, May 2026</t>
  </si>
  <si>
    <t>Equity Risk Premium (ERP)</t>
  </si>
  <si>
    <t>Damodaran 2026 implied ERP</t>
  </si>
  <si>
    <t>Levered Beta (β)</t>
  </si>
  <si>
    <t>Bloomberg 2Y adj beta; Bear=1.80 on higher risk</t>
  </si>
  <si>
    <t>Pre-Tax Cost of Debt (Kd)</t>
  </si>
  <si>
    <t>Weighted avg coupon on outstanding notes</t>
  </si>
  <si>
    <t>Target D/(D+E)</t>
  </si>
  <si>
    <t>Long-term target; D/EV =32% at current prices</t>
  </si>
  <si>
    <t>Marginal Tax Rate (for WACC)</t>
  </si>
  <si>
    <t>Marginal rate for interest tax shield. Base=12% (aligned with Q2 2026 guided 11%)</t>
  </si>
  <si>
    <t>Terminal Growth Rate (g)</t>
  </si>
  <si>
    <t>Base=2.5% LT nominal GDP+; Bull=3.0% AI secular; Bear=2.0% mature</t>
  </si>
  <si>
    <t>Derived WACC</t>
  </si>
  <si>
    <t>Cost of Equity (Ke)</t>
  </si>
  <si>
    <t>Ke = Rf + β × ERP</t>
  </si>
  <si>
    <t>After-Tax Cost of Debt</t>
  </si>
  <si>
    <t>Kd × (1 − ETR)</t>
  </si>
  <si>
    <t>WACC</t>
  </si>
  <si>
    <t>WACC = Ke×(1−D/TC) + Kd(1−t)×D/TC</t>
  </si>
  <si>
    <t>Valuation Bridge Inputs</t>
  </si>
  <si>
    <t>Cash &amp; Equivalents ($M) - from BS</t>
  </si>
  <si>
    <t>Total Debt ($M) - from BS</t>
  </si>
  <si>
    <t>DCF Calculation</t>
  </si>
  <si>
    <t>EBIT</t>
  </si>
  <si>
    <t>&lt;- Consolidated_PL (segment-driven)</t>
  </si>
  <si>
    <t>(-) Tax on EBIT</t>
  </si>
  <si>
    <t xml:space="preserve"> EBIT x ETR from Assumptions</t>
  </si>
  <si>
    <t>NOPAT (= EBIT - Tax on EBIT)</t>
  </si>
  <si>
    <t>Net Operating Profit After Tax</t>
  </si>
  <si>
    <t>(+) D&amp;A</t>
  </si>
  <si>
    <t>(-) Capital Expenditure</t>
  </si>
  <si>
    <t>(-) Change in Net Working Capital</t>
  </si>
  <si>
    <t>≈ 10% of ΔRevenue (AR 7% + Inv 21% - AP 17% ≈ 11%). Sign: NWC increase = cash outflow.</t>
  </si>
  <si>
    <t>Unlevered Free Cash Flow (UFCF)</t>
  </si>
  <si>
    <t xml:space="preserve"> NOPAT + D&amp;A + CapEx (neg) + ΔNWC (neg if outflow)</t>
  </si>
  <si>
    <t>Discount Factor</t>
  </si>
  <si>
    <t xml:space="preserve"> 1/(1+WACC)^t. WACC from DCF tab assumptions (~10.5-10.7%)</t>
  </si>
  <si>
    <t>PV of UFCF</t>
  </si>
  <si>
    <t xml:space="preserve"> UFCF x Discount Factor</t>
  </si>
  <si>
    <t>Terminal Value (Gordon Growth Model)</t>
  </si>
  <si>
    <t>Terminal Year UFCF (FY2028E)</t>
  </si>
  <si>
    <t xml:space="preserve"> UFCF in final explicit forecast year</t>
  </si>
  <si>
    <t>From DCF WACC assumptions. Base = 2.5%.</t>
  </si>
  <si>
    <t>Terminal Value (TV = UFCF x (1+g) / (WACC-g))</t>
  </si>
  <si>
    <t>Gordon Growth: TV = UFCF_terminal x (1+g) / (WACC - g)</t>
  </si>
  <si>
    <t>PV of Terminal Value</t>
  </si>
  <si>
    <t xml:space="preserve"> TV x Discount Factor of final year</t>
  </si>
  <si>
    <t>Enterprise Value Bridge</t>
  </si>
  <si>
    <t>Sum of PV of UFCFs (FY2026E-FY2028E)</t>
  </si>
  <si>
    <t xml:space="preserve"> Sum of PV of UFCF for explicit forecast period</t>
  </si>
  <si>
    <t>(+) PV of Terminal Value</t>
  </si>
  <si>
    <t>Enterprise Value (EV)</t>
  </si>
  <si>
    <t xml:space="preserve"> Sum PV UFCF + PV TV</t>
  </si>
  <si>
    <t xml:space="preserve">  TV as % of EV</t>
  </si>
  <si>
    <t>Equity Value Bridge</t>
  </si>
  <si>
    <t>Enterprise Value</t>
  </si>
  <si>
    <t>(+) Cash &amp; Equivalents</t>
  </si>
  <si>
    <t>&lt;- BS Cash (latest forecast year)</t>
  </si>
  <si>
    <t>(+) Marketable Securities</t>
  </si>
  <si>
    <t>&lt;- BS Short-term Investments</t>
  </si>
  <si>
    <t>(-) Total Debt</t>
  </si>
  <si>
    <t>&lt;- BS LT Debt + ST Debt</t>
  </si>
  <si>
    <t>(-) Non-Controlling Interests</t>
  </si>
  <si>
    <t>&lt;- BS NCI</t>
  </si>
  <si>
    <t>Equity Value</t>
  </si>
  <si>
    <t xml:space="preserve"> EV + Cash + Securities - Debt - NCI. KEY OUTPUT.</t>
  </si>
  <si>
    <t>&lt;- Consolidated_PL. FY2028E diluted shares.</t>
  </si>
  <si>
    <t>Implied Share Price ($)</t>
  </si>
  <si>
    <t xml:space="preserve"> Equity Value / Shares. CENTRAL OUTPUT OF THE MODEL.</t>
  </si>
  <si>
    <t>DCF Summary</t>
  </si>
  <si>
    <t xml:space="preserve">  WACC</t>
  </si>
  <si>
    <t xml:space="preserve">  Terminal Growth Rate</t>
  </si>
  <si>
    <t xml:space="preserve">  Sum PV UFCF</t>
  </si>
  <si>
    <t xml:space="preserve">  PV Terminal Value</t>
  </si>
  <si>
    <t xml:space="preserve">  TV % of EV</t>
  </si>
  <si>
    <t xml:space="preserve">  Enterprise Value</t>
  </si>
  <si>
    <t xml:space="preserve">  (+) Cash + Securities</t>
  </si>
  <si>
    <t xml:space="preserve">  (-) Total Debt</t>
  </si>
  <si>
    <t xml:space="preserve">  (-) NCI</t>
  </si>
  <si>
    <t xml:space="preserve">  Equity Value</t>
  </si>
  <si>
    <t xml:space="preserve">  Implied Share Price</t>
  </si>
  <si>
    <t>Intel (INTC) - Sensitivity Analysis</t>
  </si>
  <si>
    <t>Implied Share Price ($) — WACC vs Terminal Growth Rate</t>
  </si>
  <si>
    <t>Base case WACC = 10.7%, Base case g = 2.5%</t>
  </si>
  <si>
    <t>Terminal g \ WACC</t>
  </si>
  <si>
    <t xml:space="preserve">  1.5%</t>
  </si>
  <si>
    <t>TODO: Implement 2D DATA TABLE in Excel. Open in Excel, select the table range, Data &gt; What-If Analysis &gt; Data Table. Row input: WACC cell (DCF!I{wacc_row}). Column input: g cell (DCF!I{tg_row}). Base case (WACC=10.7%, g=2.5%) is marked.</t>
  </si>
  <si>
    <t xml:space="preserve">  2.0%</t>
  </si>
  <si>
    <t xml:space="preserve">  2.5%</t>
  </si>
  <si>
    <t xml:space="preserve">  3.0%</t>
  </si>
  <si>
    <t xml:space="preserve">  3.5%</t>
  </si>
  <si>
    <t>Instructions</t>
  </si>
  <si>
    <t>1. Open Intel_IB_Model.xlsx in Microsoft Excel</t>
  </si>
  <si>
    <t>2. Go to Sensitivity tab</t>
  </si>
  <si>
    <t>3. Select the table range (B7:H11)</t>
  </si>
  <si>
    <t>4. Data &gt; What-If Analysis &gt; Data Table</t>
  </si>
  <si>
    <t>5. Row input cell: =DCF!$I$18</t>
  </si>
  <si>
    <t>6. Column input cell: =DCF!$I$13</t>
  </si>
  <si>
    <t>7. Click OK. Table will populate with implied prices.</t>
  </si>
  <si>
    <t>Intel (INTC) - Ratio Analysis &amp; Financial Metrics</t>
  </si>
  <si>
    <t>All ratios computed from model financials</t>
  </si>
  <si>
    <t>Links to Consolidated_PL, BS, Cash_Flow. Auto-updates with scenario changes.</t>
  </si>
  <si>
    <t>Profitability Ratios</t>
  </si>
  <si>
    <t xml:space="preserve">  ROE (NI to Intel / Avg Equity)</t>
  </si>
  <si>
    <t xml:space="preserve">  ROA (NI / Avg Total Assets)</t>
  </si>
  <si>
    <t xml:space="preserve">  EBITDA Margin %</t>
  </si>
  <si>
    <t>Efficiency Ratios</t>
  </si>
  <si>
    <t xml:space="preserve">  AR Days</t>
  </si>
  <si>
    <t xml:space="preserve">  AP Days</t>
  </si>
  <si>
    <t xml:space="preserve">  Inventory Days</t>
  </si>
  <si>
    <t xml:space="preserve">  CapEx / D&amp;A (x)</t>
  </si>
  <si>
    <t>Leverage &amp; Liquidity Ratios</t>
  </si>
  <si>
    <t xml:space="preserve">  Debt / Total Assets</t>
  </si>
  <si>
    <t xml:space="preserve">  Debt / Equity</t>
  </si>
  <si>
    <t xml:space="preserve">  Current Ratio</t>
  </si>
  <si>
    <t xml:space="preserve">  Net Cash / (Debt) ($M)</t>
  </si>
  <si>
    <t>Cash Flow Quality</t>
  </si>
  <si>
    <t xml:space="preserve">  OCF / Net Income (x)</t>
  </si>
  <si>
    <t xml:space="preserve">  FCF / Net Income (x)</t>
  </si>
  <si>
    <t>Growth Rates (YoY %)</t>
  </si>
  <si>
    <t xml:space="preserve">  Revenue Growth %</t>
  </si>
  <si>
    <t>N/A</t>
  </si>
  <si>
    <t xml:space="preserve">  Net Income Growth %</t>
  </si>
  <si>
    <t xml:space="preserve">  EPS Growth %</t>
  </si>
  <si>
    <t>Market Valuation Multiples</t>
  </si>
  <si>
    <t xml:space="preserve">  Current Stock Price ($) — EDIT HERE</t>
  </si>
  <si>
    <t>Enter current share price; TTM &amp; NTM multiples update automatically</t>
  </si>
  <si>
    <t>TTM Valuation (Based on FY2025A)</t>
  </si>
  <si>
    <t xml:space="preserve">  P/E (x)</t>
  </si>
  <si>
    <t>Price / TTM Diluted EPS</t>
  </si>
  <si>
    <t xml:space="preserve">  P/B (x)</t>
  </si>
  <si>
    <t>Price / TTM Book Value Per Share</t>
  </si>
  <si>
    <t xml:space="preserve">  P/S (x)</t>
  </si>
  <si>
    <t>Price / TTM Revenue Per Share</t>
  </si>
  <si>
    <t xml:space="preserve">  EV/EBITDA (x)</t>
  </si>
  <si>
    <t>Enterprise Value / TTM EBITDA</t>
  </si>
  <si>
    <t xml:space="preserve">  EV/Revenue (x)</t>
  </si>
  <si>
    <t>Enterprise Value / TTM Revenue</t>
  </si>
  <si>
    <t xml:space="preserve">  P/CF (x)</t>
  </si>
  <si>
    <t>Price / TTM Operating Cash Flow Per Share</t>
  </si>
  <si>
    <t xml:space="preserve">  PEG Ratio (x)</t>
  </si>
  <si>
    <t>P/E / TTM EPS Growth %; NM if growth &lt;=0</t>
  </si>
  <si>
    <t xml:space="preserve">  Dividend Yield %</t>
  </si>
  <si>
    <t>TTM DPS / Price; dividend currently suspended</t>
  </si>
  <si>
    <t>NTM Valuation (Based on FY2026E)</t>
  </si>
  <si>
    <t>Price / NTM Diluted EPS; updates with scenario</t>
  </si>
  <si>
    <t>Price / NTM Book Value Per Share</t>
  </si>
  <si>
    <t>Price / NTM Revenue Per Share</t>
  </si>
  <si>
    <t>Enterprise Value / NTM EBITDA</t>
  </si>
  <si>
    <t>Enterprise Value / NTM Revenue</t>
  </si>
  <si>
    <t>Price / NTM Operating Cash Flow Per Share</t>
  </si>
  <si>
    <t>P/E / NTM EPS Growth %; NM if growth &lt;=0</t>
  </si>
  <si>
    <t>NTM DPS / Price; dividend currently suspended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</si>
</sst>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76" formatCode="#,##0.0"/>
    <numFmt numFmtId="177" formatCode="0.0%"/>
    <numFmt numFmtId="178" formatCode="0.0"/>
    <numFmt numFmtId="179" formatCode="0.0000"/>
    <numFmt numFmtId="180" formatCode="\$#,##0.00"/>
    <numFmt numFmtId="181" formatCode="0.00\x"/>
    <numFmt numFmtId="182" formatCode="0.0\x"/>
    <numFmt numFmtId="183" formatCode="0.000%"/>
  </numFmts>
  <fonts count="27" x14ac:knownFonts="1">
    <font>
      <sz val="11"/>
      <color theme="1"/>
      <name val="宋体"/>
      <family val="2"/>
      <scheme val="minor"/>
    </font>
    <font>
      <b/>
      <sz val="18"/>
      <color rgb="FF1F4E79"/>
      <name val="Calibri"/>
    </font>
    <font>
      <b/>
      <sz val="14"/>
      <name val="Calibri"/>
    </font>
    <font>
      <i/>
      <sz val="11"/>
      <name val="Calibri"/>
    </font>
    <font>
      <sz val="10"/>
      <color rgb="FF808080"/>
      <name val="Calibri"/>
    </font>
    <font>
      <b/>
      <sz val="10"/>
      <name val="Calibri"/>
    </font>
    <font>
      <sz val="10"/>
      <name val="Calibri"/>
    </font>
    <font>
      <sz val="9"/>
      <color rgb="FF404040"/>
      <name val="Calibri"/>
    </font>
    <font>
      <b/>
      <sz val="11"/>
      <name val="Calibri"/>
    </font>
    <font>
      <b/>
      <sz val="10"/>
      <color rgb="FFC00000"/>
      <name val="Calibri"/>
    </font>
    <font>
      <i/>
      <sz val="8"/>
      <color rgb="FF808080"/>
      <name val="Calibri"/>
    </font>
    <font>
      <b/>
      <sz val="11"/>
      <color rgb="FF1F4E79"/>
      <name val="Calibri"/>
    </font>
    <font>
      <b/>
      <sz val="10"/>
      <color rgb="FFFFFFFF"/>
      <name val="Calibri"/>
    </font>
    <font>
      <sz val="10"/>
      <color rgb="FF000000"/>
      <name val="Calibri"/>
    </font>
    <font>
      <sz val="10"/>
      <color rgb="FF305496"/>
      <name val="Calibri"/>
    </font>
    <font>
      <b/>
      <sz val="10"/>
      <color rgb="FF1F4E79"/>
      <name val="Calibri"/>
    </font>
    <font>
      <sz val="9"/>
      <name val="Calibri"/>
    </font>
    <font>
      <sz val="9"/>
      <color rgb="FF305496"/>
      <name val="Calibri"/>
    </font>
    <font>
      <sz val="9"/>
      <color rgb="FF548235"/>
      <name val="Calibri"/>
    </font>
    <font>
      <sz val="9"/>
      <color rgb="FFDDEBF7"/>
      <name val="Calibri"/>
    </font>
    <font>
      <sz val="9"/>
      <color rgb="FF000000"/>
      <name val="Calibri"/>
    </font>
    <font>
      <i/>
      <sz val="9"/>
      <color rgb="FF808080"/>
      <name val="Calibri"/>
    </font>
    <font>
      <sz val="10"/>
      <color rgb="FF548235"/>
      <name val="Calibri"/>
    </font>
    <font>
      <b/>
      <sz val="9"/>
      <name val="Calibri"/>
    </font>
    <font>
      <sz val="11"/>
      <color rgb="FF548235"/>
      <name val="宋体"/>
      <charset val="134"/>
    </font>
    <font>
      <b/>
      <sz val="11"/>
      <color rgb="FF000000"/>
      <name val="宋体"/>
      <charset val="134"/>
    </font>
    <font>
      <sz val="9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8" fillId="0" borderId="0" xfId="0" applyFont="1"/>
    <xf numFmtId="0" fontId="9" fillId="0" borderId="0" xfId="0" applyFont="1"/>
    <xf numFmtId="0" fontId="13" fillId="0" borderId="2" xfId="0" applyFont="1" applyBorder="1" applyAlignment="1">
      <alignment horizontal="left" vertical="center" wrapText="1"/>
    </xf>
    <xf numFmtId="1" fontId="11" fillId="2" borderId="2" xfId="0" applyNumberFormat="1" applyFont="1" applyFill="1" applyBorder="1" applyAlignment="1">
      <alignment horizontal="right" vertical="center"/>
    </xf>
    <xf numFmtId="0" fontId="11" fillId="0" borderId="2" xfId="0" applyFont="1" applyBorder="1"/>
    <xf numFmtId="0" fontId="0" fillId="0" borderId="2" xfId="0" applyBorder="1"/>
    <xf numFmtId="0" fontId="0" fillId="3" borderId="2" xfId="0" applyFill="1" applyBorder="1"/>
    <xf numFmtId="0" fontId="12" fillId="3" borderId="2" xfId="0" applyFont="1" applyFill="1" applyBorder="1" applyAlignment="1">
      <alignment horizontal="center" vertical="center"/>
    </xf>
    <xf numFmtId="3" fontId="5" fillId="6" borderId="2" xfId="0" applyNumberFormat="1" applyFont="1" applyFill="1" applyBorder="1" applyAlignment="1">
      <alignment horizontal="right" vertical="center"/>
    </xf>
    <xf numFmtId="177" fontId="21" fillId="0" borderId="2" xfId="0" applyNumberFormat="1" applyFont="1" applyBorder="1" applyAlignment="1">
      <alignment horizontal="right" vertical="center"/>
    </xf>
    <xf numFmtId="177" fontId="5" fillId="6" borderId="2" xfId="0" applyNumberFormat="1" applyFont="1" applyFill="1" applyBorder="1" applyAlignment="1">
      <alignment horizontal="right" vertical="center"/>
    </xf>
    <xf numFmtId="2" fontId="5" fillId="6" borderId="2" xfId="0" applyNumberFormat="1" applyFont="1" applyFill="1" applyBorder="1" applyAlignment="1">
      <alignment horizontal="right" vertical="center"/>
    </xf>
    <xf numFmtId="3" fontId="22" fillId="0" borderId="2" xfId="0" applyNumberFormat="1" applyFont="1" applyBorder="1" applyAlignment="1">
      <alignment horizontal="right" vertical="center"/>
    </xf>
    <xf numFmtId="0" fontId="5" fillId="0" borderId="2" xfId="0" applyFont="1" applyBorder="1" applyAlignment="1">
      <alignment horizontal="left" vertical="center" wrapText="1"/>
    </xf>
    <xf numFmtId="180" fontId="22" fillId="0" borderId="2" xfId="0" applyNumberFormat="1" applyFont="1" applyBorder="1" applyAlignment="1">
      <alignment horizontal="right" vertical="center"/>
    </xf>
    <xf numFmtId="0" fontId="16" fillId="0" borderId="0" xfId="0" applyFont="1" applyAlignment="1">
      <alignment horizontal="left" vertical="center" wrapText="1"/>
    </xf>
    <xf numFmtId="0" fontId="8" fillId="0" borderId="0" xfId="0" applyFont="1" applyAlignment="1">
      <alignment horizontal="right" vertical="center"/>
    </xf>
    <xf numFmtId="0" fontId="11" fillId="2" borderId="1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5" fillId="0" borderId="2" xfId="0" applyFont="1" applyBorder="1"/>
    <xf numFmtId="176" fontId="14" fillId="5" borderId="2" xfId="0" applyNumberFormat="1" applyFont="1" applyFill="1" applyBorder="1" applyAlignment="1">
      <alignment horizontal="right" vertical="center"/>
    </xf>
    <xf numFmtId="176" fontId="13" fillId="0" borderId="2" xfId="0" applyNumberFormat="1" applyFont="1" applyBorder="1" applyAlignment="1">
      <alignment horizontal="right" vertical="center"/>
    </xf>
    <xf numFmtId="176" fontId="13" fillId="2" borderId="2" xfId="0" applyNumberFormat="1" applyFont="1" applyFill="1" applyBorder="1" applyAlignment="1">
      <alignment horizontal="right" vertical="center"/>
    </xf>
    <xf numFmtId="0" fontId="15" fillId="0" borderId="2" xfId="0" applyFont="1" applyBorder="1"/>
    <xf numFmtId="176" fontId="5" fillId="0" borderId="2" xfId="0" applyNumberFormat="1" applyFont="1" applyBorder="1" applyAlignment="1">
      <alignment horizontal="right" vertical="center"/>
    </xf>
    <xf numFmtId="176" fontId="13" fillId="6" borderId="2" xfId="0" applyNumberFormat="1" applyFont="1" applyFill="1" applyBorder="1" applyAlignment="1">
      <alignment horizontal="right" vertical="center"/>
    </xf>
    <xf numFmtId="177" fontId="14" fillId="5" borderId="2" xfId="0" applyNumberFormat="1" applyFont="1" applyFill="1" applyBorder="1" applyAlignment="1">
      <alignment horizontal="right" vertical="center"/>
    </xf>
    <xf numFmtId="177" fontId="13" fillId="0" borderId="2" xfId="0" applyNumberFormat="1" applyFont="1" applyBorder="1" applyAlignment="1">
      <alignment horizontal="right" vertical="center"/>
    </xf>
    <xf numFmtId="177" fontId="13" fillId="2" borderId="2" xfId="0" applyNumberFormat="1" applyFont="1" applyFill="1" applyBorder="1" applyAlignment="1">
      <alignment horizontal="right" vertical="center"/>
    </xf>
    <xf numFmtId="177" fontId="5" fillId="0" borderId="2" xfId="0" applyNumberFormat="1" applyFont="1" applyBorder="1" applyAlignment="1">
      <alignment horizontal="right" vertical="center"/>
    </xf>
    <xf numFmtId="177" fontId="13" fillId="6" borderId="2" xfId="0" applyNumberFormat="1" applyFont="1" applyFill="1" applyBorder="1" applyAlignment="1">
      <alignment horizontal="right" vertical="center"/>
    </xf>
    <xf numFmtId="178" fontId="14" fillId="5" borderId="2" xfId="0" applyNumberFormat="1" applyFont="1" applyFill="1" applyBorder="1" applyAlignment="1">
      <alignment horizontal="right" vertical="center"/>
    </xf>
    <xf numFmtId="178" fontId="13" fillId="0" borderId="2" xfId="0" applyNumberFormat="1" applyFont="1" applyBorder="1" applyAlignment="1">
      <alignment horizontal="right" vertical="center"/>
    </xf>
    <xf numFmtId="178" fontId="13" fillId="2" borderId="2" xfId="0" applyNumberFormat="1" applyFont="1" applyFill="1" applyBorder="1" applyAlignment="1">
      <alignment horizontal="right" vertical="center"/>
    </xf>
    <xf numFmtId="178" fontId="5" fillId="0" borderId="2" xfId="0" applyNumberFormat="1" applyFont="1" applyBorder="1" applyAlignment="1">
      <alignment horizontal="right" vertical="center"/>
    </xf>
    <xf numFmtId="178" fontId="13" fillId="6" borderId="2" xfId="0" applyNumberFormat="1" applyFont="1" applyFill="1" applyBorder="1" applyAlignment="1">
      <alignment horizontal="right" vertical="center"/>
    </xf>
    <xf numFmtId="3" fontId="14" fillId="5" borderId="2" xfId="0" applyNumberFormat="1" applyFont="1" applyFill="1" applyBorder="1" applyAlignment="1">
      <alignment horizontal="right" vertical="center"/>
    </xf>
    <xf numFmtId="3" fontId="13" fillId="0" borderId="2" xfId="0" applyNumberFormat="1" applyFont="1" applyBorder="1" applyAlignment="1">
      <alignment horizontal="right" vertical="center"/>
    </xf>
    <xf numFmtId="3" fontId="13" fillId="2" borderId="2" xfId="0" applyNumberFormat="1" applyFont="1" applyFill="1" applyBorder="1" applyAlignment="1">
      <alignment horizontal="right" vertical="center"/>
    </xf>
    <xf numFmtId="3" fontId="5" fillId="0" borderId="2" xfId="0" applyNumberFormat="1" applyFont="1" applyBorder="1" applyAlignment="1">
      <alignment horizontal="right" vertical="center"/>
    </xf>
    <xf numFmtId="3" fontId="13" fillId="6" borderId="2" xfId="0" applyNumberFormat="1" applyFont="1" applyFill="1" applyBorder="1" applyAlignment="1">
      <alignment horizontal="right" vertical="center"/>
    </xf>
    <xf numFmtId="176" fontId="5" fillId="6" borderId="2" xfId="0" applyNumberFormat="1" applyFont="1" applyFill="1" applyBorder="1" applyAlignment="1">
      <alignment horizontal="right" vertical="center"/>
    </xf>
    <xf numFmtId="2" fontId="14" fillId="5" borderId="2" xfId="0" applyNumberFormat="1" applyFont="1" applyFill="1" applyBorder="1" applyAlignment="1">
      <alignment horizontal="right" vertical="center"/>
    </xf>
    <xf numFmtId="2" fontId="13" fillId="2" borderId="2" xfId="0" applyNumberFormat="1" applyFont="1" applyFill="1" applyBorder="1" applyAlignment="1">
      <alignment horizontal="right" vertical="center"/>
    </xf>
    <xf numFmtId="0" fontId="23" fillId="0" borderId="2" xfId="0" applyFont="1" applyBorder="1" applyAlignment="1">
      <alignment horizontal="center" vertical="center"/>
    </xf>
    <xf numFmtId="3" fontId="24" fillId="0" borderId="2" xfId="0" applyNumberFormat="1" applyFont="1" applyBorder="1"/>
    <xf numFmtId="2" fontId="22" fillId="0" borderId="2" xfId="0" applyNumberFormat="1" applyFont="1" applyBorder="1" applyAlignment="1">
      <alignment horizontal="right" vertical="center"/>
    </xf>
    <xf numFmtId="10" fontId="14" fillId="5" borderId="2" xfId="0" applyNumberFormat="1" applyFont="1" applyFill="1" applyBorder="1" applyAlignment="1">
      <alignment horizontal="right" vertical="center"/>
    </xf>
    <xf numFmtId="10" fontId="13" fillId="2" borderId="2" xfId="0" applyNumberFormat="1" applyFont="1" applyFill="1" applyBorder="1" applyAlignment="1">
      <alignment horizontal="right" vertical="center"/>
    </xf>
    <xf numFmtId="10" fontId="5" fillId="0" borderId="2" xfId="0" applyNumberFormat="1" applyFont="1" applyBorder="1" applyAlignment="1">
      <alignment horizontal="right" vertical="center"/>
    </xf>
    <xf numFmtId="10" fontId="13" fillId="0" borderId="2" xfId="0" applyNumberFormat="1" applyFont="1" applyBorder="1" applyAlignment="1">
      <alignment horizontal="right" vertical="center"/>
    </xf>
    <xf numFmtId="179" fontId="13" fillId="0" borderId="2" xfId="0" applyNumberFormat="1" applyFont="1" applyBorder="1" applyAlignment="1">
      <alignment horizontal="right" vertical="center"/>
    </xf>
    <xf numFmtId="10" fontId="22" fillId="0" borderId="2" xfId="0" applyNumberFormat="1" applyFont="1" applyBorder="1" applyAlignment="1">
      <alignment horizontal="right" vertical="center"/>
    </xf>
    <xf numFmtId="180" fontId="5" fillId="6" borderId="2" xfId="0" applyNumberFormat="1" applyFont="1" applyFill="1" applyBorder="1" applyAlignment="1">
      <alignment horizontal="right" vertical="center"/>
    </xf>
    <xf numFmtId="10" fontId="5" fillId="6" borderId="2" xfId="0" applyNumberFormat="1" applyFont="1" applyFill="1" applyBorder="1" applyAlignment="1">
      <alignment horizontal="right" vertical="center"/>
    </xf>
    <xf numFmtId="177" fontId="12" fillId="3" borderId="2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77" fontId="22" fillId="0" borderId="2" xfId="0" applyNumberFormat="1" applyFont="1" applyBorder="1" applyAlignment="1">
      <alignment horizontal="right" vertical="center"/>
    </xf>
    <xf numFmtId="181" fontId="13" fillId="0" borderId="2" xfId="0" applyNumberFormat="1" applyFont="1" applyBorder="1" applyAlignment="1">
      <alignment horizontal="right" vertical="center"/>
    </xf>
    <xf numFmtId="2" fontId="25" fillId="2" borderId="2" xfId="0" applyNumberFormat="1" applyFont="1" applyFill="1" applyBorder="1"/>
    <xf numFmtId="182" fontId="0" fillId="0" borderId="2" xfId="0" applyNumberFormat="1" applyBorder="1"/>
    <xf numFmtId="181" fontId="0" fillId="0" borderId="2" xfId="0" applyNumberFormat="1" applyBorder="1"/>
    <xf numFmtId="177" fontId="0" fillId="0" borderId="2" xfId="0" applyNumberFormat="1" applyBorder="1"/>
    <xf numFmtId="0" fontId="1" fillId="0" borderId="0" xfId="0" applyFont="1"/>
    <xf numFmtId="0" fontId="0" fillId="0" borderId="0" xfId="0"/>
    <xf numFmtId="0" fontId="6" fillId="0" borderId="0" xfId="0" applyFont="1"/>
    <xf numFmtId="0" fontId="7" fillId="0" borderId="0" xfId="0" applyFont="1"/>
    <xf numFmtId="0" fontId="10" fillId="0" borderId="0" xfId="0" applyFont="1"/>
    <xf numFmtId="0" fontId="5" fillId="0" borderId="0" xfId="0" applyFont="1"/>
    <xf numFmtId="0" fontId="16" fillId="0" borderId="0" xfId="0" applyFont="1"/>
    <xf numFmtId="0" fontId="21" fillId="0" borderId="0" xfId="0" applyFont="1"/>
    <xf numFmtId="0" fontId="17" fillId="0" borderId="0" xfId="0" applyFont="1"/>
    <xf numFmtId="0" fontId="20" fillId="0" borderId="0" xfId="0" applyFont="1"/>
    <xf numFmtId="0" fontId="2" fillId="0" borderId="0" xfId="0" applyFont="1"/>
    <xf numFmtId="0" fontId="19" fillId="0" borderId="0" xfId="0" applyFont="1"/>
    <xf numFmtId="0" fontId="18" fillId="0" borderId="0" xfId="0" applyFont="1"/>
    <xf numFmtId="0" fontId="13" fillId="0" borderId="2" xfId="0" applyFont="1" applyBorder="1" applyAlignment="1">
      <alignment horizontal="left" vertical="center" wrapText="1"/>
    </xf>
    <xf numFmtId="0" fontId="0" fillId="0" borderId="3" xfId="0" applyBorder="1"/>
    <xf numFmtId="0" fontId="0" fillId="0" borderId="4" xfId="0" applyBorder="1"/>
    <xf numFmtId="183" fontId="13" fillId="0" borderId="2" xfId="0" applyNumberFormat="1" applyFont="1" applyBorder="1" applyAlignment="1">
      <alignment horizontal="right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C42"/>
  <sheetViews>
    <sheetView tabSelected="1" workbookViewId="0">
      <selection activeCell="G7" sqref="G7"/>
    </sheetView>
  </sheetViews>
  <sheetFormatPr defaultRowHeight="14" x14ac:dyDescent="0.25"/>
  <cols>
    <col min="1" max="1" width="25" customWidth="1"/>
    <col min="2" max="2" width="60" customWidth="1"/>
    <col min="3" max="3" width="30" customWidth="1"/>
  </cols>
  <sheetData>
    <row r="1" spans="1:3" ht="23.5" x14ac:dyDescent="0.55000000000000004">
      <c r="A1" s="68" t="s">
        <v>0</v>
      </c>
      <c r="B1" s="69"/>
      <c r="C1" s="69"/>
    </row>
    <row r="3" spans="1:3" ht="18.5" x14ac:dyDescent="0.45">
      <c r="A3" s="1" t="s">
        <v>1</v>
      </c>
    </row>
    <row r="4" spans="1:3" ht="15" x14ac:dyDescent="0.35">
      <c r="A4" s="2" t="s">
        <v>2</v>
      </c>
    </row>
    <row r="5" spans="1:3" ht="14.5" x14ac:dyDescent="0.3">
      <c r="A5" s="3" t="s">
        <v>3</v>
      </c>
    </row>
    <row r="8" spans="1:3" ht="14.5" x14ac:dyDescent="0.3">
      <c r="A8" s="4" t="s">
        <v>4</v>
      </c>
      <c r="B8" s="70" t="s">
        <v>5</v>
      </c>
      <c r="C8" s="69"/>
    </row>
    <row r="9" spans="1:3" ht="14.5" x14ac:dyDescent="0.3">
      <c r="A9" s="4" t="s">
        <v>6</v>
      </c>
      <c r="B9" s="70" t="s">
        <v>7</v>
      </c>
      <c r="C9" s="69"/>
    </row>
    <row r="10" spans="1:3" ht="14.5" x14ac:dyDescent="0.3">
      <c r="A10" s="4" t="s">
        <v>8</v>
      </c>
      <c r="B10" s="70" t="s">
        <v>9</v>
      </c>
      <c r="C10" s="69"/>
    </row>
    <row r="11" spans="1:3" ht="14.5" x14ac:dyDescent="0.3">
      <c r="A11" s="4" t="s">
        <v>10</v>
      </c>
      <c r="B11" s="70" t="s">
        <v>11</v>
      </c>
      <c r="C11" s="69"/>
    </row>
    <row r="12" spans="1:3" ht="14.5" x14ac:dyDescent="0.3">
      <c r="A12" s="4" t="s">
        <v>12</v>
      </c>
      <c r="B12" s="70" t="s">
        <v>13</v>
      </c>
      <c r="C12" s="69"/>
    </row>
    <row r="13" spans="1:3" ht="14.5" x14ac:dyDescent="0.3">
      <c r="B13" s="70"/>
      <c r="C13" s="69"/>
    </row>
    <row r="14" spans="1:3" ht="14.5" x14ac:dyDescent="0.3">
      <c r="A14" s="4" t="s">
        <v>14</v>
      </c>
      <c r="B14" s="70" t="s">
        <v>15</v>
      </c>
      <c r="C14" s="69"/>
    </row>
    <row r="15" spans="1:3" ht="14.5" x14ac:dyDescent="0.3">
      <c r="A15" s="4" t="s">
        <v>16</v>
      </c>
      <c r="B15" s="70" t="s">
        <v>17</v>
      </c>
      <c r="C15" s="69"/>
    </row>
    <row r="16" spans="1:3" ht="14.5" x14ac:dyDescent="0.3">
      <c r="B16" s="70"/>
      <c r="C16" s="69"/>
    </row>
    <row r="17" spans="1:3" ht="14.5" x14ac:dyDescent="0.3">
      <c r="A17" s="4" t="s">
        <v>18</v>
      </c>
      <c r="B17" s="70" t="s">
        <v>19</v>
      </c>
      <c r="C17" s="69"/>
    </row>
    <row r="18" spans="1:3" ht="14.5" x14ac:dyDescent="0.3">
      <c r="A18" s="4" t="s">
        <v>20</v>
      </c>
      <c r="B18" s="70" t="s">
        <v>21</v>
      </c>
      <c r="C18" s="69"/>
    </row>
    <row r="19" spans="1:3" ht="14.5" x14ac:dyDescent="0.3">
      <c r="A19" s="4" t="s">
        <v>22</v>
      </c>
      <c r="B19" s="70" t="s">
        <v>23</v>
      </c>
      <c r="C19" s="69"/>
    </row>
    <row r="21" spans="1:3" ht="14.5" x14ac:dyDescent="0.3">
      <c r="A21" s="73" t="s">
        <v>24</v>
      </c>
      <c r="B21" s="69"/>
      <c r="C21" s="69"/>
    </row>
    <row r="22" spans="1:3" ht="14.5" x14ac:dyDescent="0.3">
      <c r="A22" s="71" t="s">
        <v>25</v>
      </c>
      <c r="B22" s="69"/>
      <c r="C22" s="69"/>
    </row>
    <row r="23" spans="1:3" ht="14.5" x14ac:dyDescent="0.3">
      <c r="A23" s="71" t="s">
        <v>26</v>
      </c>
      <c r="B23" s="69"/>
      <c r="C23" s="69"/>
    </row>
    <row r="24" spans="1:3" ht="14.5" x14ac:dyDescent="0.3">
      <c r="A24" s="71" t="s">
        <v>27</v>
      </c>
      <c r="B24" s="69"/>
      <c r="C24" s="69"/>
    </row>
    <row r="25" spans="1:3" ht="14.5" x14ac:dyDescent="0.3">
      <c r="A25" s="71" t="s">
        <v>28</v>
      </c>
      <c r="B25" s="69"/>
      <c r="C25" s="69"/>
    </row>
    <row r="26" spans="1:3" ht="14.5" x14ac:dyDescent="0.3">
      <c r="A26" s="71" t="s">
        <v>29</v>
      </c>
      <c r="B26" s="69"/>
      <c r="C26" s="69"/>
    </row>
    <row r="29" spans="1:3" ht="15" x14ac:dyDescent="0.35">
      <c r="A29" s="5" t="s">
        <v>30</v>
      </c>
    </row>
    <row r="30" spans="1:3" ht="14.5" x14ac:dyDescent="0.3">
      <c r="A30" s="70" t="s">
        <v>31</v>
      </c>
      <c r="B30" s="69"/>
      <c r="C30" s="69"/>
    </row>
    <row r="31" spans="1:3" ht="14.5" x14ac:dyDescent="0.3">
      <c r="A31" s="70" t="s">
        <v>32</v>
      </c>
      <c r="B31" s="69"/>
      <c r="C31" s="69"/>
    </row>
    <row r="32" spans="1:3" ht="14.5" x14ac:dyDescent="0.3">
      <c r="A32" s="70" t="s">
        <v>33</v>
      </c>
      <c r="B32" s="69"/>
      <c r="C32" s="69"/>
    </row>
    <row r="33" spans="1:3" ht="14.5" x14ac:dyDescent="0.3">
      <c r="A33" s="70" t="s">
        <v>34</v>
      </c>
      <c r="B33" s="69"/>
      <c r="C33" s="69"/>
    </row>
    <row r="34" spans="1:3" ht="14.5" x14ac:dyDescent="0.3">
      <c r="A34" s="70" t="s">
        <v>35</v>
      </c>
      <c r="B34" s="69"/>
      <c r="C34" s="69"/>
    </row>
    <row r="35" spans="1:3" ht="14.5" x14ac:dyDescent="0.3">
      <c r="A35" s="70" t="s">
        <v>36</v>
      </c>
      <c r="B35" s="69"/>
      <c r="C35" s="69"/>
    </row>
    <row r="38" spans="1:3" ht="14.5" x14ac:dyDescent="0.3">
      <c r="A38" s="6" t="s">
        <v>37</v>
      </c>
    </row>
    <row r="39" spans="1:3" x14ac:dyDescent="0.25">
      <c r="A39" s="72" t="s">
        <v>38</v>
      </c>
      <c r="B39" s="69"/>
      <c r="C39" s="69"/>
    </row>
    <row r="40" spans="1:3" x14ac:dyDescent="0.25">
      <c r="A40" s="72" t="s">
        <v>39</v>
      </c>
      <c r="B40" s="69"/>
      <c r="C40" s="69"/>
    </row>
    <row r="41" spans="1:3" x14ac:dyDescent="0.25">
      <c r="A41" s="72" t="s">
        <v>40</v>
      </c>
      <c r="B41" s="69"/>
      <c r="C41" s="69"/>
    </row>
    <row r="42" spans="1:3" x14ac:dyDescent="0.25">
      <c r="A42" s="72" t="s">
        <v>41</v>
      </c>
      <c r="B42" s="69"/>
      <c r="C42" s="69"/>
    </row>
  </sheetData>
  <mergeCells count="29">
    <mergeCell ref="A42:C42"/>
    <mergeCell ref="A33:C33"/>
    <mergeCell ref="B11:C11"/>
    <mergeCell ref="A23:C23"/>
    <mergeCell ref="A32:C32"/>
    <mergeCell ref="A22:C22"/>
    <mergeCell ref="B14:C14"/>
    <mergeCell ref="B17:C17"/>
    <mergeCell ref="A35:C35"/>
    <mergeCell ref="A40:C40"/>
    <mergeCell ref="A39:C39"/>
    <mergeCell ref="A34:C34"/>
    <mergeCell ref="A25:C25"/>
    <mergeCell ref="A41:C41"/>
    <mergeCell ref="B16:C16"/>
    <mergeCell ref="A21:C21"/>
    <mergeCell ref="A1:C1"/>
    <mergeCell ref="B8:C8"/>
    <mergeCell ref="B13:C13"/>
    <mergeCell ref="B19:C19"/>
    <mergeCell ref="A31:C31"/>
    <mergeCell ref="B10:C10"/>
    <mergeCell ref="A30:C30"/>
    <mergeCell ref="B9:C9"/>
    <mergeCell ref="A24:C24"/>
    <mergeCell ref="B15:C15"/>
    <mergeCell ref="B12:C12"/>
    <mergeCell ref="B18:C18"/>
    <mergeCell ref="A26:C26"/>
  </mergeCells>
  <phoneticPr fontId="26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CC"/>
  </sheetPr>
  <dimension ref="A1:K73"/>
  <sheetViews>
    <sheetView workbookViewId="0"/>
  </sheetViews>
  <sheetFormatPr defaultRowHeight="14" x14ac:dyDescent="0.25"/>
  <cols>
    <col min="1" max="1" width="44" customWidth="1"/>
    <col min="2" max="4" width="14" customWidth="1"/>
    <col min="5" max="5" width="2" customWidth="1"/>
    <col min="6" max="9" width="14" customWidth="1"/>
    <col min="10" max="10" width="2" customWidth="1"/>
    <col min="11" max="11" width="55" customWidth="1"/>
  </cols>
  <sheetData>
    <row r="1" spans="1:11" ht="18.5" x14ac:dyDescent="0.45">
      <c r="A1" s="78" t="s">
        <v>42</v>
      </c>
      <c r="B1" s="69"/>
      <c r="C1" s="69"/>
      <c r="D1" s="69"/>
      <c r="E1" s="69"/>
      <c r="F1" s="69"/>
      <c r="G1" s="69"/>
      <c r="H1" s="69"/>
      <c r="I1" s="69"/>
      <c r="J1" s="69"/>
    </row>
    <row r="2" spans="1:11" ht="14.5" x14ac:dyDescent="0.3">
      <c r="A2" s="75" t="s">
        <v>43</v>
      </c>
      <c r="B2" s="69"/>
      <c r="C2" s="69"/>
      <c r="D2" s="69"/>
      <c r="E2" s="69"/>
      <c r="F2" s="69"/>
      <c r="G2" s="69"/>
      <c r="H2" s="69"/>
      <c r="I2" s="69"/>
      <c r="J2" s="69"/>
    </row>
    <row r="3" spans="1:11" ht="14.5" x14ac:dyDescent="0.25">
      <c r="A3" s="7" t="s">
        <v>44</v>
      </c>
      <c r="B3" s="8" t="str">
        <f>Assumptions!B2</f>
        <v>Base</v>
      </c>
    </row>
    <row r="5" spans="1:11" ht="15" x14ac:dyDescent="0.35">
      <c r="A5" s="9" t="s">
        <v>45</v>
      </c>
      <c r="B5" s="10"/>
      <c r="C5" s="10"/>
      <c r="D5" s="10"/>
      <c r="E5" s="10"/>
      <c r="F5" s="10"/>
      <c r="G5" s="10"/>
      <c r="H5" s="10"/>
      <c r="I5" s="10"/>
      <c r="J5" s="10"/>
    </row>
    <row r="6" spans="1:11" x14ac:dyDescent="0.25">
      <c r="A6" s="11"/>
      <c r="B6" s="12" t="s">
        <v>46</v>
      </c>
      <c r="C6" s="12" t="s">
        <v>47</v>
      </c>
      <c r="D6" s="12" t="s">
        <v>48</v>
      </c>
      <c r="E6" s="11"/>
      <c r="F6" s="12" t="s">
        <v>49</v>
      </c>
      <c r="G6" s="12" t="s">
        <v>50</v>
      </c>
      <c r="H6" s="12" t="s">
        <v>51</v>
      </c>
      <c r="I6" s="11"/>
      <c r="J6" s="11"/>
      <c r="K6" s="12" t="s">
        <v>52</v>
      </c>
    </row>
    <row r="7" spans="1:11" x14ac:dyDescent="0.25">
      <c r="A7" s="7" t="s">
        <v>53</v>
      </c>
      <c r="B7" s="13">
        <f>Consolidated_PL!B5</f>
        <v>54228</v>
      </c>
      <c r="C7" s="13">
        <f>Consolidated_PL!C5</f>
        <v>53101</v>
      </c>
      <c r="D7" s="13">
        <f>Consolidated_PL!D5</f>
        <v>52853</v>
      </c>
      <c r="F7" s="13">
        <f>Consolidated_PL!F5</f>
        <v>54652</v>
      </c>
      <c r="G7" s="13">
        <f>Consolidated_PL!G5</f>
        <v>61801.75</v>
      </c>
      <c r="H7" s="13">
        <f>Consolidated_PL!H5</f>
        <v>67643.899999999994</v>
      </c>
    </row>
    <row r="8" spans="1:11" x14ac:dyDescent="0.25">
      <c r="A8" s="7" t="s">
        <v>54</v>
      </c>
      <c r="C8" s="14">
        <f>Consolidated_PL!C5/Consolidated_PL!B5-1</f>
        <v>-2.0782621523935951E-2</v>
      </c>
      <c r="D8" s="14">
        <f>Consolidated_PL!D5/Consolidated_PL!C5-1</f>
        <v>-4.6703451912393223E-3</v>
      </c>
      <c r="F8" s="14">
        <f>Consolidated_PL!F5/Consolidated_PL!D5-1</f>
        <v>3.4037802962934904E-2</v>
      </c>
      <c r="G8" s="14">
        <f>Consolidated_PL!G5/Consolidated_PL!F5-1</f>
        <v>0.13082320866573949</v>
      </c>
      <c r="H8" s="14">
        <f>Consolidated_PL!H5/Consolidated_PL!G5-1</f>
        <v>9.4530494686638988E-2</v>
      </c>
    </row>
    <row r="9" spans="1:11" x14ac:dyDescent="0.25">
      <c r="A9" s="7" t="s">
        <v>55</v>
      </c>
      <c r="B9" s="13">
        <f>Consolidated_PL!B7</f>
        <v>21711</v>
      </c>
      <c r="C9" s="13">
        <f>Consolidated_PL!C7</f>
        <v>17345</v>
      </c>
      <c r="D9" s="13">
        <f>Consolidated_PL!D7</f>
        <v>18375</v>
      </c>
      <c r="F9" s="13">
        <f>Consolidated_PL!F7</f>
        <v>21041.020000000004</v>
      </c>
      <c r="G9" s="13">
        <f>Consolidated_PL!G7</f>
        <v>25338.717499999999</v>
      </c>
      <c r="H9" s="13">
        <f>Consolidated_PL!H7</f>
        <v>29425.0965</v>
      </c>
    </row>
    <row r="10" spans="1:11" x14ac:dyDescent="0.25">
      <c r="A10" s="7" t="s">
        <v>56</v>
      </c>
      <c r="B10" s="15">
        <f>Consolidated_PL!B7/Consolidated_PL!B5</f>
        <v>0.40036512502766097</v>
      </c>
      <c r="C10" s="15">
        <f>Consolidated_PL!C7/Consolidated_PL!C5</f>
        <v>0.32664168283083184</v>
      </c>
      <c r="D10" s="15">
        <f>Consolidated_PL!D7/Consolidated_PL!D5</f>
        <v>0.34766238434904356</v>
      </c>
      <c r="F10" s="15">
        <f>Consolidated_PL!F7/Consolidated_PL!F5</f>
        <v>0.38500000000000006</v>
      </c>
      <c r="G10" s="15">
        <f>Consolidated_PL!G7/Consolidated_PL!G5</f>
        <v>0.41</v>
      </c>
      <c r="H10" s="15">
        <f>Consolidated_PL!H7/Consolidated_PL!H5</f>
        <v>0.43500000000000005</v>
      </c>
    </row>
    <row r="11" spans="1:11" x14ac:dyDescent="0.25">
      <c r="A11" s="7" t="s">
        <v>57</v>
      </c>
      <c r="B11" s="13">
        <f>Consolidated_PL!B17</f>
        <v>298</v>
      </c>
      <c r="C11" s="13">
        <f>Consolidated_PL!C17</f>
        <v>-11517</v>
      </c>
      <c r="D11" s="13">
        <f>Consolidated_PL!D17</f>
        <v>-2833</v>
      </c>
      <c r="F11" s="13">
        <f>Consolidated_PL!F17</f>
        <v>2604.3100000000004</v>
      </c>
      <c r="G11" s="13">
        <f>Consolidated_PL!G17</f>
        <v>6851.3502500000013</v>
      </c>
      <c r="H11" s="13">
        <f>Consolidated_PL!H17</f>
        <v>10636.382000000001</v>
      </c>
    </row>
    <row r="12" spans="1:11" x14ac:dyDescent="0.25">
      <c r="A12" s="7" t="s">
        <v>58</v>
      </c>
      <c r="B12" s="15">
        <f>Consolidated_PL!B17/Consolidated_PL!B5</f>
        <v>5.4953160728774802E-3</v>
      </c>
      <c r="C12" s="15">
        <f>Consolidated_PL!C17/Consolidated_PL!C5</f>
        <v>-0.2168885708367074</v>
      </c>
      <c r="D12" s="15">
        <f>Consolidated_PL!D17/Consolidated_PL!D5</f>
        <v>-5.360149849582805E-2</v>
      </c>
      <c r="F12" s="15">
        <f>Consolidated_PL!F17/Consolidated_PL!F5</f>
        <v>4.7652601917587654E-2</v>
      </c>
      <c r="G12" s="15">
        <f>Consolidated_PL!G17/Consolidated_PL!G5</f>
        <v>0.11086013341046171</v>
      </c>
      <c r="H12" s="15">
        <f>Consolidated_PL!H17/Consolidated_PL!H5</f>
        <v>0.15724081550590671</v>
      </c>
    </row>
    <row r="13" spans="1:11" x14ac:dyDescent="0.25">
      <c r="A13" s="7" t="s">
        <v>59</v>
      </c>
      <c r="B13" s="13">
        <f>Consolidated_PL!B29</f>
        <v>1894</v>
      </c>
      <c r="C13" s="13">
        <f>Consolidated_PL!C29</f>
        <v>-18595</v>
      </c>
      <c r="D13" s="13">
        <f>Consolidated_PL!D29</f>
        <v>-886</v>
      </c>
      <c r="F13" s="13">
        <f>Consolidated_PL!F29</f>
        <v>837.7928000000004</v>
      </c>
      <c r="G13" s="13">
        <f>Consolidated_PL!G29</f>
        <v>4338.674717500001</v>
      </c>
      <c r="H13" s="13">
        <f>Consolidated_PL!H29</f>
        <v>7805.6523400000005</v>
      </c>
    </row>
    <row r="14" spans="1:11" x14ac:dyDescent="0.25">
      <c r="A14" s="7" t="s">
        <v>60</v>
      </c>
      <c r="B14" s="15">
        <f>Consolidated_PL!B29/Consolidated_PL!B5</f>
        <v>3.492660618130855E-2</v>
      </c>
      <c r="C14" s="15">
        <f>Consolidated_PL!C29/Consolidated_PL!C5</f>
        <v>-0.35018172915764301</v>
      </c>
      <c r="D14" s="15">
        <f>Consolidated_PL!D29/Consolidated_PL!D5</f>
        <v>-1.6763476056231436E-2</v>
      </c>
      <c r="F14" s="15">
        <f>Consolidated_PL!F29/Consolidated_PL!F5</f>
        <v>1.5329590865842062E-2</v>
      </c>
      <c r="G14" s="15">
        <f>Consolidated_PL!G29/Consolidated_PL!G5</f>
        <v>7.0203104564191154E-2</v>
      </c>
      <c r="H14" s="15">
        <f>Consolidated_PL!H29/Consolidated_PL!H5</f>
        <v>0.11539329252157254</v>
      </c>
    </row>
    <row r="15" spans="1:11" x14ac:dyDescent="0.25">
      <c r="A15" s="7" t="s">
        <v>61</v>
      </c>
      <c r="B15" s="16">
        <f>Consolidated_PL!B35</f>
        <v>0.44966761633428298</v>
      </c>
      <c r="C15" s="16">
        <f>Consolidated_PL!C35</f>
        <v>-4.3446261682242993</v>
      </c>
      <c r="D15" s="16">
        <f>Consolidated_PL!D35</f>
        <v>-0.19558498896247239</v>
      </c>
      <c r="F15" s="16">
        <f>Consolidated_PL!F35</f>
        <v>0.16427309803921578</v>
      </c>
      <c r="G15" s="16">
        <f>Consolidated_PL!G35</f>
        <v>0.83758199179536696</v>
      </c>
      <c r="H15" s="16">
        <f>Consolidated_PL!H35</f>
        <v>1.4867909219047619</v>
      </c>
    </row>
    <row r="16" spans="1:11" x14ac:dyDescent="0.25">
      <c r="A16" s="7" t="s">
        <v>62</v>
      </c>
      <c r="B16" s="17">
        <f>Consolidated_PL!B32</f>
        <v>7847</v>
      </c>
      <c r="C16" s="17">
        <f>Consolidated_PL!C32</f>
        <v>9951</v>
      </c>
      <c r="D16" s="17">
        <f>Consolidated_PL!D32</f>
        <v>10757</v>
      </c>
      <c r="F16" s="17">
        <f>Consolidated_PL!F32</f>
        <v>12500</v>
      </c>
      <c r="G16" s="17">
        <f>Consolidated_PL!G32</f>
        <v>13200</v>
      </c>
      <c r="H16" s="17">
        <f>Consolidated_PL!H32</f>
        <v>13800</v>
      </c>
    </row>
    <row r="17" spans="1:10" x14ac:dyDescent="0.25">
      <c r="A17" s="7" t="s">
        <v>63</v>
      </c>
      <c r="B17" s="13">
        <f>Consolidated_PL!B17+Consolidated_PL!B32</f>
        <v>8145</v>
      </c>
      <c r="C17" s="13">
        <f>Consolidated_PL!C17+Consolidated_PL!C32</f>
        <v>-1566</v>
      </c>
      <c r="D17" s="13">
        <f>Consolidated_PL!D17+Consolidated_PL!D32</f>
        <v>7924</v>
      </c>
      <c r="F17" s="13">
        <f>Consolidated_PL!F17+Consolidated_PL!F32</f>
        <v>15104.310000000001</v>
      </c>
      <c r="G17" s="13">
        <f>Consolidated_PL!G17+Consolidated_PL!G32</f>
        <v>20051.350250000003</v>
      </c>
      <c r="H17" s="13">
        <f>Consolidated_PL!H17+Consolidated_PL!H32</f>
        <v>24436.382000000001</v>
      </c>
    </row>
    <row r="18" spans="1:10" x14ac:dyDescent="0.25">
      <c r="A18" s="7" t="s">
        <v>64</v>
      </c>
      <c r="B18" s="13">
        <f>Cash_Flow!B28</f>
        <v>-11248</v>
      </c>
      <c r="C18" s="13">
        <f>Cash_Flow!C28</f>
        <v>-28562</v>
      </c>
      <c r="D18" s="13">
        <f>Cash_Flow!D28</f>
        <v>-9155</v>
      </c>
      <c r="F18" s="13">
        <f>Cash_Flow!F28</f>
        <v>-679.09678904109023</v>
      </c>
      <c r="G18" s="13">
        <f>Cash_Flow!G28</f>
        <v>4599.9922517465784</v>
      </c>
      <c r="H18" s="13">
        <f>Cash_Flow!H28</f>
        <v>6664.7432920547944</v>
      </c>
    </row>
    <row r="20" spans="1:10" ht="15" x14ac:dyDescent="0.35">
      <c r="A20" s="9" t="s">
        <v>65</v>
      </c>
      <c r="B20" s="10"/>
      <c r="C20" s="10"/>
      <c r="D20" s="10"/>
      <c r="E20" s="10"/>
      <c r="F20" s="10"/>
      <c r="G20" s="10"/>
      <c r="H20" s="10"/>
      <c r="I20" s="10"/>
      <c r="J20" s="10"/>
    </row>
    <row r="21" spans="1:10" x14ac:dyDescent="0.25">
      <c r="A21" s="7" t="s">
        <v>66</v>
      </c>
      <c r="B21" s="17">
        <f>Segment_PL!F5</f>
        <v>32305</v>
      </c>
      <c r="C21" s="17">
        <f>Segment_PL!K5</f>
        <v>33346</v>
      </c>
      <c r="D21" s="17">
        <f>Segment_PL!P5</f>
        <v>32228</v>
      </c>
      <c r="F21" s="17">
        <f>Segment_PL!V5</f>
        <v>32759.999999999996</v>
      </c>
      <c r="G21" s="17">
        <f>Segment_PL!AA5</f>
        <v>34966.75</v>
      </c>
      <c r="H21" s="17">
        <f>Segment_PL!AF5</f>
        <v>36266.400000000001</v>
      </c>
    </row>
    <row r="22" spans="1:10" x14ac:dyDescent="0.25">
      <c r="A22" s="7" t="s">
        <v>67</v>
      </c>
      <c r="B22" s="17">
        <f>Segment_PL!F10</f>
        <v>15980</v>
      </c>
      <c r="C22" s="17">
        <f>Segment_PL!K10</f>
        <v>16125</v>
      </c>
      <c r="D22" s="17">
        <f>Segment_PL!P10</f>
        <v>16919</v>
      </c>
      <c r="F22" s="17">
        <f>Segment_PL!V10</f>
        <v>17920</v>
      </c>
      <c r="G22" s="17">
        <f>Segment_PL!AA10</f>
        <v>21754.999999999996</v>
      </c>
      <c r="H22" s="17">
        <f>Segment_PL!AF10</f>
        <v>24987.5</v>
      </c>
    </row>
    <row r="23" spans="1:10" x14ac:dyDescent="0.25">
      <c r="A23" s="7" t="s">
        <v>68</v>
      </c>
      <c r="B23" s="17">
        <f>Segment_PL!F15</f>
        <v>18504</v>
      </c>
      <c r="C23" s="17">
        <f>Segment_PL!K15</f>
        <v>17317</v>
      </c>
      <c r="D23" s="17">
        <f>Segment_PL!P15</f>
        <v>17826</v>
      </c>
      <c r="F23" s="17">
        <f>Segment_PL!V15</f>
        <v>18398.499999999996</v>
      </c>
      <c r="G23" s="17">
        <f>Segment_PL!AA15</f>
        <v>20109.3</v>
      </c>
      <c r="H23" s="17">
        <f>Segment_PL!AF15</f>
        <v>22255.25</v>
      </c>
    </row>
    <row r="24" spans="1:10" x14ac:dyDescent="0.25">
      <c r="A24" s="7" t="s">
        <v>69</v>
      </c>
      <c r="B24" s="17">
        <f>Segment_PL!F20</f>
        <v>5463</v>
      </c>
      <c r="C24" s="17">
        <f>Segment_PL!K20</f>
        <v>3601</v>
      </c>
      <c r="D24" s="17">
        <f>Segment_PL!P20</f>
        <v>3563</v>
      </c>
      <c r="F24" s="17">
        <f>Segment_PL!V20</f>
        <v>3472</v>
      </c>
      <c r="G24" s="17">
        <f>Segment_PL!AA20</f>
        <v>3780</v>
      </c>
      <c r="H24" s="17">
        <f>Segment_PL!AF20</f>
        <v>4090</v>
      </c>
    </row>
    <row r="25" spans="1:10" x14ac:dyDescent="0.25">
      <c r="A25" s="18" t="s">
        <v>70</v>
      </c>
      <c r="B25" s="17">
        <f>Segment_PL!F36</f>
        <v>54228</v>
      </c>
      <c r="C25" s="17">
        <f>Segment_PL!K36</f>
        <v>53101</v>
      </c>
      <c r="D25" s="17">
        <f>Segment_PL!P36</f>
        <v>52853</v>
      </c>
      <c r="F25" s="17">
        <f>Segment_PL!V36</f>
        <v>54652</v>
      </c>
      <c r="G25" s="17">
        <f>Segment_PL!AA36</f>
        <v>61801.75</v>
      </c>
      <c r="H25" s="17">
        <f>Segment_PL!AF36</f>
        <v>67643.899999999994</v>
      </c>
    </row>
    <row r="27" spans="1:10" ht="15" x14ac:dyDescent="0.35">
      <c r="A27" s="9" t="s">
        <v>71</v>
      </c>
      <c r="B27" s="10"/>
      <c r="C27" s="10"/>
      <c r="D27" s="10"/>
      <c r="E27" s="10"/>
      <c r="F27" s="10"/>
      <c r="G27" s="10"/>
      <c r="H27" s="10"/>
      <c r="I27" s="10"/>
      <c r="J27" s="10"/>
    </row>
    <row r="28" spans="1:10" x14ac:dyDescent="0.25">
      <c r="A28" s="7" t="s">
        <v>72</v>
      </c>
      <c r="B28" s="17">
        <f>BS!B21</f>
        <v>191572</v>
      </c>
      <c r="C28" s="17">
        <f>BS!C21</f>
        <v>196485</v>
      </c>
      <c r="D28" s="17">
        <f>BS!D21</f>
        <v>211429</v>
      </c>
      <c r="F28" s="17">
        <f>BS!F21</f>
        <v>217237.96047123289</v>
      </c>
      <c r="G28" s="17">
        <f>BS!G21</f>
        <v>226088.93443530821</v>
      </c>
      <c r="H28" s="17">
        <f>BS!H21</f>
        <v>238761.95092599315</v>
      </c>
    </row>
    <row r="29" spans="1:10" x14ac:dyDescent="0.25">
      <c r="A29" s="7" t="s">
        <v>73</v>
      </c>
      <c r="B29" s="17">
        <f>BS!B42</f>
        <v>109965</v>
      </c>
      <c r="C29" s="17">
        <f>BS!C42</f>
        <v>105032</v>
      </c>
      <c r="D29" s="17">
        <f>BS!D42</f>
        <v>126360</v>
      </c>
      <c r="F29" s="17">
        <f>BS!F42</f>
        <v>130447.7928</v>
      </c>
      <c r="G29" s="17">
        <f>BS!G42</f>
        <v>138386.46751749999</v>
      </c>
      <c r="H29" s="17">
        <f>BS!H42</f>
        <v>149792.11985750002</v>
      </c>
    </row>
    <row r="30" spans="1:10" x14ac:dyDescent="0.25">
      <c r="A30" s="7" t="s">
        <v>74</v>
      </c>
      <c r="B30" s="17">
        <f>BS!B7+BS!B8</f>
        <v>25034</v>
      </c>
      <c r="C30" s="17">
        <f>BS!C7+BS!C8</f>
        <v>22062</v>
      </c>
      <c r="D30" s="17">
        <f>BS!D7+BS!D8</f>
        <v>37416</v>
      </c>
      <c r="F30" s="17">
        <f>BS!F7+BS!F8</f>
        <v>45388.263210958918</v>
      </c>
      <c r="G30" s="17">
        <f>BS!G7+BS!G8</f>
        <v>45900.33546270548</v>
      </c>
      <c r="H30" s="17">
        <f>BS!H7+BS!H8</f>
        <v>49995.590754760276</v>
      </c>
    </row>
    <row r="31" spans="1:10" x14ac:dyDescent="0.25">
      <c r="A31" s="7" t="s">
        <v>75</v>
      </c>
      <c r="B31" s="17">
        <f>BS!B34+BS!B28</f>
        <v>49266</v>
      </c>
      <c r="C31" s="17">
        <f>BS!C34+BS!C28</f>
        <v>50011</v>
      </c>
      <c r="D31" s="17">
        <f>BS!D34+BS!D28</f>
        <v>46585</v>
      </c>
      <c r="F31" s="17">
        <f>BS!F34+BS!F28</f>
        <v>49500</v>
      </c>
      <c r="G31" s="17">
        <f>BS!G34+BS!G28</f>
        <v>47200</v>
      </c>
      <c r="H31" s="17">
        <f>BS!H34+BS!H28</f>
        <v>46000</v>
      </c>
    </row>
    <row r="32" spans="1:10" x14ac:dyDescent="0.25">
      <c r="A32" s="7" t="s">
        <v>76</v>
      </c>
      <c r="B32" s="17">
        <f>BS!B7+BS!B8-BS!B34-BS!B28</f>
        <v>-24232</v>
      </c>
      <c r="C32" s="17">
        <f>BS!C7+BS!C8-BS!C34-BS!C28</f>
        <v>-27949</v>
      </c>
      <c r="D32" s="17">
        <f>BS!D7+BS!D8-BS!D34-BS!D28</f>
        <v>-9169</v>
      </c>
      <c r="F32" s="17">
        <f>BS!F7+BS!F8-BS!F34-BS!F28</f>
        <v>-4111.7367890410824</v>
      </c>
      <c r="G32" s="17">
        <f>BS!G7+BS!G8-BS!G34-BS!G28</f>
        <v>-1299.6645372945204</v>
      </c>
      <c r="H32" s="17">
        <f>BS!H7+BS!H8-BS!H34-BS!H28</f>
        <v>3995.5907547602765</v>
      </c>
    </row>
    <row r="33" spans="1:11" x14ac:dyDescent="0.25">
      <c r="A33" s="7" t="s">
        <v>77</v>
      </c>
      <c r="B33" s="14">
        <f>Consolidated_PL!B29/BS!B40</f>
        <v>1.7937304669002747E-2</v>
      </c>
      <c r="C33" s="14">
        <f>Consolidated_PL!C29/BS!C40</f>
        <v>-0.18731741714515968</v>
      </c>
      <c r="D33" s="14">
        <f>Consolidated_PL!D29/BS!D40</f>
        <v>-7.7528198038169073E-3</v>
      </c>
      <c r="F33" s="14">
        <f>Consolidated_PL!F29/BS!F40</f>
        <v>7.1048285019417231E-3</v>
      </c>
      <c r="G33" s="14">
        <f>Consolidated_PL!G29/BS!G40</f>
        <v>3.4693447769465389E-2</v>
      </c>
      <c r="H33" s="14">
        <f>Consolidated_PL!H29/BS!H40</f>
        <v>5.753702515612958E-2</v>
      </c>
    </row>
    <row r="34" spans="1:11" x14ac:dyDescent="0.25">
      <c r="A34" s="7" t="s">
        <v>78</v>
      </c>
      <c r="B34" s="14">
        <f>Consolidated_PL!B26/BS!B21</f>
        <v>9.8135426889106973E-3</v>
      </c>
      <c r="C34" s="14">
        <f>Consolidated_PL!C26/BS!C21</f>
        <v>-9.706593378629412E-2</v>
      </c>
      <c r="D34" s="14">
        <f>Consolidated_PL!D26/BS!D21</f>
        <v>-2.8047240444782884E-3</v>
      </c>
      <c r="F34" s="14">
        <f>Consolidated_PL!F26/BS!F21</f>
        <v>7.3090025175883535E-3</v>
      </c>
      <c r="G34" s="14">
        <f>Consolidated_PL!G26/BS!G21</f>
        <v>2.4055466186719509E-2</v>
      </c>
      <c r="H34" s="14">
        <f>Consolidated_PL!H26/BS!H21</f>
        <v>3.7299294571271131E-2</v>
      </c>
    </row>
    <row r="36" spans="1:11" ht="15" x14ac:dyDescent="0.35">
      <c r="A36" s="9" t="s">
        <v>79</v>
      </c>
      <c r="B36" s="10"/>
      <c r="C36" s="10"/>
      <c r="D36" s="10"/>
      <c r="E36" s="10"/>
      <c r="F36" s="10"/>
      <c r="G36" s="10"/>
      <c r="H36" s="10"/>
      <c r="I36" s="10"/>
      <c r="J36" s="10"/>
    </row>
    <row r="37" spans="1:11" x14ac:dyDescent="0.25">
      <c r="A37" s="18" t="s">
        <v>80</v>
      </c>
      <c r="H37" s="19">
        <f>DCF!H56</f>
        <v>0.17436776809597809</v>
      </c>
      <c r="K37" s="20" t="s">
        <v>81</v>
      </c>
    </row>
    <row r="38" spans="1:11" x14ac:dyDescent="0.25">
      <c r="A38" s="7" t="s">
        <v>82</v>
      </c>
      <c r="H38" s="17">
        <f>DCF!H45</f>
        <v>11048.840027743605</v>
      </c>
    </row>
    <row r="39" spans="1:11" x14ac:dyDescent="0.25">
      <c r="A39" s="7" t="s">
        <v>83</v>
      </c>
      <c r="H39" s="17">
        <f>DCF!H54</f>
        <v>915.43078250388498</v>
      </c>
    </row>
    <row r="41" spans="1:11" ht="15" x14ac:dyDescent="0.35">
      <c r="A41" s="9" t="s">
        <v>84</v>
      </c>
      <c r="B41" s="10"/>
      <c r="C41" s="10"/>
      <c r="D41" s="10"/>
      <c r="E41" s="10"/>
      <c r="F41" s="10"/>
      <c r="G41" s="10"/>
      <c r="H41" s="10"/>
      <c r="I41" s="10"/>
      <c r="J41" s="10"/>
    </row>
    <row r="42" spans="1:11" ht="14.5" x14ac:dyDescent="0.3">
      <c r="A42" s="70" t="s">
        <v>85</v>
      </c>
      <c r="B42" s="69"/>
      <c r="C42" s="69"/>
      <c r="D42" s="69"/>
      <c r="E42" s="69"/>
      <c r="F42" s="69"/>
      <c r="G42" s="69"/>
      <c r="H42" s="69"/>
    </row>
    <row r="43" spans="1:11" ht="14.5" x14ac:dyDescent="0.3">
      <c r="A43" s="70" t="s">
        <v>86</v>
      </c>
      <c r="B43" s="69"/>
      <c r="C43" s="69"/>
      <c r="D43" s="69"/>
      <c r="E43" s="69"/>
      <c r="F43" s="69"/>
      <c r="G43" s="69"/>
      <c r="H43" s="69"/>
    </row>
    <row r="44" spans="1:11" ht="14.5" x14ac:dyDescent="0.3">
      <c r="A44" s="70" t="s">
        <v>87</v>
      </c>
      <c r="B44" s="69"/>
      <c r="C44" s="69"/>
      <c r="D44" s="69"/>
      <c r="E44" s="69"/>
      <c r="F44" s="69"/>
      <c r="G44" s="69"/>
      <c r="H44" s="69"/>
    </row>
    <row r="45" spans="1:11" ht="14.5" x14ac:dyDescent="0.3">
      <c r="A45" s="70" t="s">
        <v>88</v>
      </c>
      <c r="B45" s="69"/>
      <c r="C45" s="69"/>
      <c r="D45" s="69"/>
      <c r="E45" s="69"/>
      <c r="F45" s="69"/>
      <c r="G45" s="69"/>
      <c r="H45" s="69"/>
    </row>
    <row r="46" spans="1:11" ht="14.5" x14ac:dyDescent="0.3">
      <c r="A46" s="70" t="s">
        <v>89</v>
      </c>
      <c r="B46" s="69"/>
      <c r="C46" s="69"/>
      <c r="D46" s="69"/>
      <c r="E46" s="69"/>
      <c r="F46" s="69"/>
      <c r="G46" s="69"/>
      <c r="H46" s="69"/>
    </row>
    <row r="47" spans="1:11" ht="14.5" x14ac:dyDescent="0.3">
      <c r="A47" s="70" t="s">
        <v>90</v>
      </c>
      <c r="B47" s="69"/>
      <c r="C47" s="69"/>
      <c r="D47" s="69"/>
      <c r="E47" s="69"/>
      <c r="F47" s="69"/>
      <c r="G47" s="69"/>
      <c r="H47" s="69"/>
    </row>
    <row r="48" spans="1:11" ht="14.5" x14ac:dyDescent="0.3">
      <c r="A48" s="70" t="s">
        <v>91</v>
      </c>
      <c r="B48" s="69"/>
      <c r="C48" s="69"/>
      <c r="D48" s="69"/>
      <c r="E48" s="69"/>
      <c r="F48" s="69"/>
      <c r="G48" s="69"/>
      <c r="H48" s="69"/>
    </row>
    <row r="49" spans="1:10" ht="14.5" x14ac:dyDescent="0.3">
      <c r="A49" s="70" t="s">
        <v>92</v>
      </c>
      <c r="B49" s="69"/>
      <c r="C49" s="69"/>
      <c r="D49" s="69"/>
      <c r="E49" s="69"/>
      <c r="F49" s="69"/>
      <c r="G49" s="69"/>
      <c r="H49" s="69"/>
    </row>
    <row r="51" spans="1:10" ht="15" x14ac:dyDescent="0.35">
      <c r="A51" s="9" t="s">
        <v>93</v>
      </c>
      <c r="B51" s="10"/>
      <c r="C51" s="10"/>
      <c r="D51" s="10"/>
      <c r="E51" s="10"/>
      <c r="F51" s="10"/>
      <c r="G51" s="10"/>
      <c r="H51" s="10"/>
      <c r="I51" s="10"/>
      <c r="J51" s="10"/>
    </row>
    <row r="52" spans="1:10" ht="14.5" x14ac:dyDescent="0.3">
      <c r="A52" s="75" t="s">
        <v>94</v>
      </c>
      <c r="B52" s="69"/>
      <c r="C52" s="69"/>
      <c r="D52" s="69"/>
      <c r="E52" s="69"/>
      <c r="F52" s="69"/>
      <c r="G52" s="69"/>
      <c r="H52" s="69"/>
    </row>
    <row r="53" spans="1:10" ht="14.5" x14ac:dyDescent="0.3">
      <c r="A53" s="75" t="s">
        <v>95</v>
      </c>
      <c r="B53" s="69"/>
      <c r="C53" s="69"/>
      <c r="D53" s="69"/>
      <c r="E53" s="69"/>
      <c r="F53" s="69"/>
      <c r="G53" s="69"/>
      <c r="H53" s="69"/>
    </row>
    <row r="54" spans="1:10" ht="14.5" x14ac:dyDescent="0.3">
      <c r="A54" s="75" t="s">
        <v>96</v>
      </c>
      <c r="B54" s="69"/>
      <c r="C54" s="69"/>
      <c r="D54" s="69"/>
      <c r="E54" s="69"/>
      <c r="F54" s="69"/>
      <c r="G54" s="69"/>
      <c r="H54" s="69"/>
    </row>
    <row r="55" spans="1:10" ht="14.5" x14ac:dyDescent="0.3">
      <c r="A55" s="75" t="s">
        <v>97</v>
      </c>
      <c r="B55" s="69"/>
      <c r="C55" s="69"/>
      <c r="D55" s="69"/>
      <c r="E55" s="69"/>
      <c r="F55" s="69"/>
      <c r="G55" s="69"/>
      <c r="H55" s="69"/>
    </row>
    <row r="56" spans="1:10" ht="14.5" x14ac:dyDescent="0.3">
      <c r="A56" s="75" t="s">
        <v>98</v>
      </c>
      <c r="B56" s="69"/>
      <c r="C56" s="69"/>
      <c r="D56" s="69"/>
      <c r="E56" s="69"/>
      <c r="F56" s="69"/>
      <c r="G56" s="69"/>
      <c r="H56" s="69"/>
    </row>
    <row r="57" spans="1:10" ht="14.5" x14ac:dyDescent="0.3">
      <c r="A57" s="75" t="s">
        <v>99</v>
      </c>
      <c r="B57" s="69"/>
      <c r="C57" s="69"/>
      <c r="D57" s="69"/>
      <c r="E57" s="69"/>
      <c r="F57" s="69"/>
      <c r="G57" s="69"/>
      <c r="H57" s="69"/>
    </row>
    <row r="58" spans="1:10" ht="14.5" x14ac:dyDescent="0.3">
      <c r="A58" s="75" t="s">
        <v>100</v>
      </c>
      <c r="B58" s="69"/>
      <c r="C58" s="69"/>
      <c r="D58" s="69"/>
      <c r="E58" s="69"/>
      <c r="F58" s="69"/>
      <c r="G58" s="69"/>
      <c r="H58" s="69"/>
    </row>
    <row r="60" spans="1:10" x14ac:dyDescent="0.25">
      <c r="A60" s="7" t="s">
        <v>101</v>
      </c>
    </row>
    <row r="61" spans="1:10" ht="14.5" x14ac:dyDescent="0.3">
      <c r="A61" s="76" t="s">
        <v>102</v>
      </c>
      <c r="B61" s="69"/>
      <c r="C61" s="69"/>
      <c r="D61" s="69"/>
      <c r="E61" s="69"/>
      <c r="F61" s="69"/>
    </row>
    <row r="62" spans="1:10" ht="14.5" x14ac:dyDescent="0.3">
      <c r="A62" s="80" t="s">
        <v>103</v>
      </c>
      <c r="B62" s="69"/>
      <c r="C62" s="69"/>
      <c r="D62" s="69"/>
      <c r="E62" s="69"/>
      <c r="F62" s="69"/>
    </row>
    <row r="63" spans="1:10" ht="14.5" x14ac:dyDescent="0.3">
      <c r="A63" s="79" t="s">
        <v>104</v>
      </c>
      <c r="B63" s="69"/>
      <c r="C63" s="69"/>
      <c r="D63" s="69"/>
      <c r="E63" s="69"/>
      <c r="F63" s="69"/>
    </row>
    <row r="64" spans="1:10" ht="14.5" x14ac:dyDescent="0.3">
      <c r="A64" s="77" t="s">
        <v>105</v>
      </c>
      <c r="B64" s="69"/>
      <c r="C64" s="69"/>
      <c r="D64" s="69"/>
      <c r="E64" s="69"/>
      <c r="F64" s="69"/>
    </row>
    <row r="65" spans="1:6" ht="14.5" x14ac:dyDescent="0.3">
      <c r="A65" s="77" t="s">
        <v>106</v>
      </c>
      <c r="B65" s="69"/>
      <c r="C65" s="69"/>
      <c r="D65" s="69"/>
      <c r="E65" s="69"/>
      <c r="F65" s="69"/>
    </row>
    <row r="66" spans="1:6" x14ac:dyDescent="0.25">
      <c r="A66" s="69" t="s">
        <v>107</v>
      </c>
      <c r="B66" s="69"/>
      <c r="C66" s="69"/>
      <c r="D66" s="69"/>
      <c r="E66" s="69"/>
      <c r="F66" s="69"/>
    </row>
    <row r="68" spans="1:6" x14ac:dyDescent="0.25">
      <c r="A68" s="7" t="s">
        <v>108</v>
      </c>
    </row>
    <row r="69" spans="1:6" ht="14.5" x14ac:dyDescent="0.3">
      <c r="A69" s="74" t="s">
        <v>109</v>
      </c>
      <c r="B69" s="69"/>
      <c r="C69" s="69"/>
      <c r="D69" s="69"/>
      <c r="E69" s="69"/>
      <c r="F69" s="69"/>
    </row>
    <row r="70" spans="1:6" ht="14.5" x14ac:dyDescent="0.3">
      <c r="A70" s="74" t="s">
        <v>110</v>
      </c>
      <c r="B70" s="69"/>
      <c r="C70" s="69"/>
      <c r="D70" s="69"/>
      <c r="E70" s="69"/>
      <c r="F70" s="69"/>
    </row>
    <row r="71" spans="1:6" ht="14.5" x14ac:dyDescent="0.3">
      <c r="A71" s="74" t="s">
        <v>111</v>
      </c>
      <c r="B71" s="69"/>
      <c r="C71" s="69"/>
      <c r="D71" s="69"/>
      <c r="E71" s="69"/>
      <c r="F71" s="69"/>
    </row>
    <row r="72" spans="1:6" ht="14.5" x14ac:dyDescent="0.3">
      <c r="A72" s="74" t="s">
        <v>112</v>
      </c>
      <c r="B72" s="69"/>
      <c r="C72" s="69"/>
      <c r="D72" s="69"/>
      <c r="E72" s="69"/>
      <c r="F72" s="69"/>
    </row>
    <row r="73" spans="1:6" ht="14.5" x14ac:dyDescent="0.3">
      <c r="A73" s="74" t="s">
        <v>113</v>
      </c>
      <c r="B73" s="69"/>
      <c r="C73" s="69"/>
      <c r="D73" s="69"/>
      <c r="E73" s="69"/>
      <c r="F73" s="69"/>
    </row>
  </sheetData>
  <mergeCells count="28">
    <mergeCell ref="A1:J1"/>
    <mergeCell ref="A63:F63"/>
    <mergeCell ref="A55:H55"/>
    <mergeCell ref="A57:H57"/>
    <mergeCell ref="A42:H42"/>
    <mergeCell ref="A47:H47"/>
    <mergeCell ref="A2:J2"/>
    <mergeCell ref="A48:H48"/>
    <mergeCell ref="A49:H49"/>
    <mergeCell ref="A45:H45"/>
    <mergeCell ref="A54:H54"/>
    <mergeCell ref="A62:F62"/>
    <mergeCell ref="A46:H46"/>
    <mergeCell ref="A73:F73"/>
    <mergeCell ref="A53:H53"/>
    <mergeCell ref="A43:H43"/>
    <mergeCell ref="A52:H52"/>
    <mergeCell ref="A70:F70"/>
    <mergeCell ref="A61:F61"/>
    <mergeCell ref="A44:H44"/>
    <mergeCell ref="A69:F69"/>
    <mergeCell ref="A58:H58"/>
    <mergeCell ref="A65:F65"/>
    <mergeCell ref="A72:F72"/>
    <mergeCell ref="A56:H56"/>
    <mergeCell ref="A64:F64"/>
    <mergeCell ref="A66:F66"/>
    <mergeCell ref="A71:F71"/>
  </mergeCells>
  <phoneticPr fontId="2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AI262"/>
  <sheetViews>
    <sheetView zoomScale="56" workbookViewId="0">
      <selection activeCell="A2" sqref="A2"/>
    </sheetView>
  </sheetViews>
  <sheetFormatPr defaultRowHeight="14" x14ac:dyDescent="0.25"/>
  <cols>
    <col min="1" max="1" width="44" customWidth="1"/>
    <col min="2" max="5" width="12" customWidth="1"/>
    <col min="6" max="6" width="15" customWidth="1"/>
    <col min="7" max="10" width="12" customWidth="1"/>
    <col min="11" max="11" width="15" customWidth="1"/>
    <col min="12" max="15" width="12" customWidth="1"/>
    <col min="16" max="16" width="15" customWidth="1"/>
    <col min="17" max="17" width="2" customWidth="1"/>
    <col min="18" max="21" width="12" customWidth="1"/>
    <col min="22" max="22" width="15" customWidth="1"/>
    <col min="23" max="26" width="12" customWidth="1"/>
    <col min="27" max="27" width="15" customWidth="1"/>
    <col min="28" max="31" width="12" customWidth="1"/>
    <col min="32" max="32" width="15" customWidth="1"/>
    <col min="33" max="34" width="2" customWidth="1"/>
    <col min="35" max="35" width="55" customWidth="1"/>
  </cols>
  <sheetData>
    <row r="1" spans="1:35" ht="18.5" x14ac:dyDescent="0.45">
      <c r="A1" s="78" t="s">
        <v>114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</row>
    <row r="2" spans="1:35" ht="14.5" x14ac:dyDescent="0.25">
      <c r="A2" s="21" t="s">
        <v>115</v>
      </c>
      <c r="B2" s="22" t="s">
        <v>116</v>
      </c>
    </row>
    <row r="4" spans="1:35" x14ac:dyDescent="0.25">
      <c r="A4" s="11"/>
      <c r="B4" s="12" t="s">
        <v>117</v>
      </c>
      <c r="C4" s="12" t="s">
        <v>118</v>
      </c>
      <c r="D4" s="12" t="s">
        <v>119</v>
      </c>
      <c r="E4" s="12" t="s">
        <v>120</v>
      </c>
      <c r="F4" s="23" t="s">
        <v>121</v>
      </c>
      <c r="G4" s="12" t="s">
        <v>122</v>
      </c>
      <c r="H4" s="12" t="s">
        <v>123</v>
      </c>
      <c r="I4" s="12" t="s">
        <v>124</v>
      </c>
      <c r="J4" s="12" t="s">
        <v>125</v>
      </c>
      <c r="K4" s="23" t="s">
        <v>126</v>
      </c>
      <c r="L4" s="12" t="s">
        <v>127</v>
      </c>
      <c r="M4" s="12" t="s">
        <v>128</v>
      </c>
      <c r="N4" s="12" t="s">
        <v>129</v>
      </c>
      <c r="O4" s="12" t="s">
        <v>130</v>
      </c>
      <c r="P4" s="23" t="s">
        <v>131</v>
      </c>
      <c r="Q4" s="11"/>
      <c r="R4" s="12" t="s">
        <v>132</v>
      </c>
      <c r="S4" s="12" t="s">
        <v>133</v>
      </c>
      <c r="T4" s="12" t="s">
        <v>134</v>
      </c>
      <c r="U4" s="12" t="s">
        <v>135</v>
      </c>
      <c r="V4" s="23" t="s">
        <v>136</v>
      </c>
      <c r="W4" s="12" t="s">
        <v>137</v>
      </c>
      <c r="X4" s="12" t="s">
        <v>138</v>
      </c>
      <c r="Y4" s="12" t="s">
        <v>139</v>
      </c>
      <c r="Z4" s="12" t="s">
        <v>140</v>
      </c>
      <c r="AA4" s="23" t="s">
        <v>141</v>
      </c>
      <c r="AB4" s="12" t="s">
        <v>142</v>
      </c>
      <c r="AC4" s="12" t="s">
        <v>143</v>
      </c>
      <c r="AD4" s="12" t="s">
        <v>144</v>
      </c>
      <c r="AE4" s="12" t="s">
        <v>145</v>
      </c>
      <c r="AF4" s="23" t="s">
        <v>146</v>
      </c>
      <c r="AG4" s="11"/>
      <c r="AH4" s="11"/>
      <c r="AI4" s="12" t="s">
        <v>52</v>
      </c>
    </row>
    <row r="6" spans="1:35" ht="15" x14ac:dyDescent="0.35">
      <c r="A6" s="9" t="s">
        <v>147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</row>
    <row r="7" spans="1:35" x14ac:dyDescent="0.25">
      <c r="A7" s="7" t="s">
        <v>148</v>
      </c>
    </row>
    <row r="8" spans="1:35" ht="14.5" x14ac:dyDescent="0.3">
      <c r="A8" s="24" t="s">
        <v>149</v>
      </c>
      <c r="B8" s="25">
        <v>60.45</v>
      </c>
      <c r="C8" s="25">
        <v>60.45</v>
      </c>
      <c r="D8" s="25">
        <v>60.45</v>
      </c>
      <c r="E8" s="25">
        <v>60.45</v>
      </c>
      <c r="F8" s="26">
        <f>SUM(B8:E8)</f>
        <v>241.8</v>
      </c>
      <c r="G8" s="25">
        <v>61.35</v>
      </c>
      <c r="H8" s="25">
        <v>61.35</v>
      </c>
      <c r="I8" s="25">
        <v>61.35</v>
      </c>
      <c r="J8" s="25">
        <v>61.35</v>
      </c>
      <c r="K8" s="26">
        <f>SUM(G8:J8)</f>
        <v>245.4</v>
      </c>
      <c r="L8" s="25">
        <v>64.650000000000006</v>
      </c>
      <c r="M8" s="25">
        <v>64.650000000000006</v>
      </c>
      <c r="N8" s="25">
        <v>64.650000000000006</v>
      </c>
      <c r="O8" s="25">
        <v>64.650000000000006</v>
      </c>
      <c r="P8" s="26">
        <f>SUM(L8:O8)</f>
        <v>258.60000000000002</v>
      </c>
      <c r="Q8" s="10"/>
      <c r="R8" s="27">
        <v>65</v>
      </c>
      <c r="S8" s="27">
        <v>65</v>
      </c>
      <c r="T8" s="27">
        <v>65</v>
      </c>
      <c r="U8" s="27">
        <v>65</v>
      </c>
      <c r="V8" s="26">
        <f>SUM(R8:U8)</f>
        <v>260</v>
      </c>
      <c r="W8" s="27">
        <v>66.25</v>
      </c>
      <c r="X8" s="27">
        <v>66.25</v>
      </c>
      <c r="Y8" s="27">
        <v>66.25</v>
      </c>
      <c r="Z8" s="27">
        <v>66.25</v>
      </c>
      <c r="AA8" s="26">
        <f>SUM(W8:Z8)</f>
        <v>265</v>
      </c>
      <c r="AB8" s="27">
        <v>67.5</v>
      </c>
      <c r="AC8" s="27">
        <v>67.5</v>
      </c>
      <c r="AD8" s="27">
        <v>67.5</v>
      </c>
      <c r="AE8" s="27">
        <v>67.5</v>
      </c>
      <c r="AF8" s="26">
        <f>SUM(AB8:AE8)</f>
        <v>270</v>
      </c>
      <c r="AG8" s="10"/>
      <c r="AH8" s="10"/>
    </row>
    <row r="9" spans="1:35" ht="14.5" x14ac:dyDescent="0.3">
      <c r="A9" s="24" t="s">
        <v>150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27">
        <v>67.5</v>
      </c>
      <c r="S9" s="27">
        <v>67.5</v>
      </c>
      <c r="T9" s="27">
        <v>67.5</v>
      </c>
      <c r="U9" s="27">
        <v>67.5</v>
      </c>
      <c r="V9" s="26">
        <f>SUM(R9:U9)</f>
        <v>270</v>
      </c>
      <c r="W9" s="27">
        <v>70</v>
      </c>
      <c r="X9" s="27">
        <v>70</v>
      </c>
      <c r="Y9" s="27">
        <v>70</v>
      </c>
      <c r="Z9" s="27">
        <v>70</v>
      </c>
      <c r="AA9" s="26">
        <f>SUM(W9:Z9)</f>
        <v>280</v>
      </c>
      <c r="AB9" s="27">
        <v>72.5</v>
      </c>
      <c r="AC9" s="27">
        <v>72.5</v>
      </c>
      <c r="AD9" s="27">
        <v>72.5</v>
      </c>
      <c r="AE9" s="27">
        <v>72.5</v>
      </c>
      <c r="AF9" s="26">
        <f>SUM(AB9:AE9)</f>
        <v>290</v>
      </c>
      <c r="AG9" s="10"/>
      <c r="AH9" s="10"/>
    </row>
    <row r="10" spans="1:35" ht="14.5" x14ac:dyDescent="0.3">
      <c r="A10" s="24" t="s">
        <v>151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27">
        <v>62.5</v>
      </c>
      <c r="S10" s="27">
        <v>62.5</v>
      </c>
      <c r="T10" s="27">
        <v>62.5</v>
      </c>
      <c r="U10" s="27">
        <v>62.5</v>
      </c>
      <c r="V10" s="26">
        <f>SUM(R10:U10)</f>
        <v>250</v>
      </c>
      <c r="W10" s="27">
        <v>63</v>
      </c>
      <c r="X10" s="27">
        <v>63</v>
      </c>
      <c r="Y10" s="27">
        <v>63</v>
      </c>
      <c r="Z10" s="27">
        <v>63</v>
      </c>
      <c r="AA10" s="26">
        <f>SUM(W10:Z10)</f>
        <v>252</v>
      </c>
      <c r="AB10" s="27">
        <v>63.75</v>
      </c>
      <c r="AC10" s="27">
        <v>63.75</v>
      </c>
      <c r="AD10" s="27">
        <v>63.75</v>
      </c>
      <c r="AE10" s="27">
        <v>63.75</v>
      </c>
      <c r="AF10" s="26">
        <f>SUM(AB10:AE10)</f>
        <v>255</v>
      </c>
      <c r="AG10" s="10"/>
      <c r="AH10" s="10"/>
    </row>
    <row r="11" spans="1:35" ht="24" x14ac:dyDescent="0.3">
      <c r="A11" s="28" t="s">
        <v>152</v>
      </c>
      <c r="B11" s="25">
        <v>60.45</v>
      </c>
      <c r="C11" s="25">
        <v>60.45</v>
      </c>
      <c r="D11" s="25">
        <v>60.45</v>
      </c>
      <c r="E11" s="25">
        <v>60.45</v>
      </c>
      <c r="F11" s="26">
        <f>SUM(B11:E11)</f>
        <v>241.8</v>
      </c>
      <c r="G11" s="25">
        <v>61.35</v>
      </c>
      <c r="H11" s="25">
        <v>61.35</v>
      </c>
      <c r="I11" s="25">
        <v>61.35</v>
      </c>
      <c r="J11" s="25">
        <v>61.35</v>
      </c>
      <c r="K11" s="26">
        <f>SUM(G11:J11)</f>
        <v>245.4</v>
      </c>
      <c r="L11" s="25">
        <v>64.650000000000006</v>
      </c>
      <c r="M11" s="25">
        <v>64.650000000000006</v>
      </c>
      <c r="N11" s="25">
        <v>64.650000000000006</v>
      </c>
      <c r="O11" s="25">
        <v>64.650000000000006</v>
      </c>
      <c r="P11" s="26">
        <f>SUM(L11:O11)</f>
        <v>258.60000000000002</v>
      </c>
      <c r="Q11" s="10"/>
      <c r="R11" s="29">
        <f>CHOOSE(MATCH($B$2,{"Base","Bull","Bear"},0),R8,R9,R10)</f>
        <v>65</v>
      </c>
      <c r="S11" s="29">
        <f>CHOOSE(MATCH($B$2,{"Base","Bull","Bear"},0),S8,S9,S10)</f>
        <v>65</v>
      </c>
      <c r="T11" s="29">
        <f>CHOOSE(MATCH($B$2,{"Base","Bull","Bear"},0),T8,T9,T10)</f>
        <v>65</v>
      </c>
      <c r="U11" s="29">
        <f>CHOOSE(MATCH($B$2,{"Base","Bull","Bear"},0),U8,U9,U10)</f>
        <v>65</v>
      </c>
      <c r="V11" s="30">
        <f>SUM(R11:U11)</f>
        <v>260</v>
      </c>
      <c r="W11" s="29">
        <f>CHOOSE(MATCH($B$2,{"Base","Bull","Bear"},0),W8,W9,W10)</f>
        <v>66.25</v>
      </c>
      <c r="X11" s="29">
        <f>CHOOSE(MATCH($B$2,{"Base","Bull","Bear"},0),X8,X9,X10)</f>
        <v>66.25</v>
      </c>
      <c r="Y11" s="29">
        <f>CHOOSE(MATCH($B$2,{"Base","Bull","Bear"},0),Y8,Y9,Y10)</f>
        <v>66.25</v>
      </c>
      <c r="Z11" s="29">
        <f>CHOOSE(MATCH($B$2,{"Base","Bull","Bear"},0),Z8,Z9,Z10)</f>
        <v>66.25</v>
      </c>
      <c r="AA11" s="30">
        <f>SUM(W11:Z11)</f>
        <v>265</v>
      </c>
      <c r="AB11" s="29">
        <f>CHOOSE(MATCH($B$2,{"Base","Bull","Bear"},0),AB8,AB9,AB10)</f>
        <v>67.5</v>
      </c>
      <c r="AC11" s="29">
        <f>CHOOSE(MATCH($B$2,{"Base","Bull","Bear"},0),AC8,AC9,AC10)</f>
        <v>67.5</v>
      </c>
      <c r="AD11" s="29">
        <f>CHOOSE(MATCH($B$2,{"Base","Bull","Bear"},0),AD8,AD9,AD10)</f>
        <v>67.5</v>
      </c>
      <c r="AE11" s="29">
        <f>CHOOSE(MATCH($B$2,{"Base","Bull","Bear"},0),AE8,AE9,AE10)</f>
        <v>67.5</v>
      </c>
      <c r="AF11" s="30">
        <f>SUM(AB11:AE11)</f>
        <v>270</v>
      </c>
      <c r="AG11" s="10"/>
      <c r="AH11" s="10"/>
      <c r="AI11" s="20" t="s">
        <v>153</v>
      </c>
    </row>
    <row r="13" spans="1:35" x14ac:dyDescent="0.25">
      <c r="A13" s="7" t="s">
        <v>154</v>
      </c>
    </row>
    <row r="14" spans="1:35" ht="14.5" x14ac:dyDescent="0.3">
      <c r="A14" s="24" t="s">
        <v>149</v>
      </c>
      <c r="B14" s="31">
        <v>0.71</v>
      </c>
      <c r="C14" s="31">
        <v>0.71</v>
      </c>
      <c r="D14" s="31">
        <v>0.71</v>
      </c>
      <c r="E14" s="31">
        <v>0.71</v>
      </c>
      <c r="F14" s="32">
        <f>AVERAGE(B14:E14)</f>
        <v>0.71</v>
      </c>
      <c r="G14" s="31">
        <v>0.71499999999999997</v>
      </c>
      <c r="H14" s="31">
        <v>0.71499999999999997</v>
      </c>
      <c r="I14" s="31">
        <v>0.71499999999999997</v>
      </c>
      <c r="J14" s="31">
        <v>0.71499999999999997</v>
      </c>
      <c r="K14" s="32">
        <f>AVERAGE(G14:J14)</f>
        <v>0.71499999999999997</v>
      </c>
      <c r="L14" s="31">
        <v>0.72</v>
      </c>
      <c r="M14" s="31">
        <v>0.72</v>
      </c>
      <c r="N14" s="31">
        <v>0.72</v>
      </c>
      <c r="O14" s="31">
        <v>0.72</v>
      </c>
      <c r="P14" s="32">
        <f>AVERAGE(L14:O14)</f>
        <v>0.72</v>
      </c>
      <c r="Q14" s="10"/>
      <c r="R14" s="33">
        <v>0.72</v>
      </c>
      <c r="S14" s="33">
        <v>0.72</v>
      </c>
      <c r="T14" s="33">
        <v>0.72</v>
      </c>
      <c r="U14" s="33">
        <v>0.72</v>
      </c>
      <c r="V14" s="32">
        <f>AVERAGE(R14:U14)</f>
        <v>0.72</v>
      </c>
      <c r="W14" s="33">
        <v>0.72499999999999998</v>
      </c>
      <c r="X14" s="33">
        <v>0.72499999999999998</v>
      </c>
      <c r="Y14" s="33">
        <v>0.72499999999999998</v>
      </c>
      <c r="Z14" s="33">
        <v>0.72499999999999998</v>
      </c>
      <c r="AA14" s="32">
        <f>AVERAGE(W14:Z14)</f>
        <v>0.72499999999999998</v>
      </c>
      <c r="AB14" s="33">
        <v>0.73</v>
      </c>
      <c r="AC14" s="33">
        <v>0.73</v>
      </c>
      <c r="AD14" s="33">
        <v>0.73</v>
      </c>
      <c r="AE14" s="33">
        <v>0.73</v>
      </c>
      <c r="AF14" s="32">
        <f>AVERAGE(AB14:AE14)</f>
        <v>0.73</v>
      </c>
      <c r="AG14" s="10"/>
      <c r="AH14" s="10"/>
    </row>
    <row r="15" spans="1:35" ht="14.5" x14ac:dyDescent="0.3">
      <c r="A15" s="24" t="s">
        <v>150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33">
        <v>0.74</v>
      </c>
      <c r="S15" s="33">
        <v>0.74</v>
      </c>
      <c r="T15" s="33">
        <v>0.74</v>
      </c>
      <c r="U15" s="33">
        <v>0.74</v>
      </c>
      <c r="V15" s="32">
        <f>AVERAGE(R15:U15)</f>
        <v>0.74</v>
      </c>
      <c r="W15" s="33">
        <v>0.75</v>
      </c>
      <c r="X15" s="33">
        <v>0.75</v>
      </c>
      <c r="Y15" s="33">
        <v>0.75</v>
      </c>
      <c r="Z15" s="33">
        <v>0.75</v>
      </c>
      <c r="AA15" s="32">
        <f>AVERAGE(W15:Z15)</f>
        <v>0.75</v>
      </c>
      <c r="AB15" s="33">
        <v>0.76</v>
      </c>
      <c r="AC15" s="33">
        <v>0.76</v>
      </c>
      <c r="AD15" s="33">
        <v>0.76</v>
      </c>
      <c r="AE15" s="33">
        <v>0.76</v>
      </c>
      <c r="AF15" s="32">
        <f>AVERAGE(AB15:AE15)</f>
        <v>0.76</v>
      </c>
      <c r="AG15" s="10"/>
      <c r="AH15" s="10"/>
    </row>
    <row r="16" spans="1:35" ht="14.5" x14ac:dyDescent="0.3">
      <c r="A16" s="24" t="s">
        <v>151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33">
        <v>0.7</v>
      </c>
      <c r="S16" s="33">
        <v>0.7</v>
      </c>
      <c r="T16" s="33">
        <v>0.7</v>
      </c>
      <c r="U16" s="33">
        <v>0.7</v>
      </c>
      <c r="V16" s="32">
        <f>AVERAGE(R16:U16)</f>
        <v>0.7</v>
      </c>
      <c r="W16" s="33">
        <v>0.69</v>
      </c>
      <c r="X16" s="33">
        <v>0.69</v>
      </c>
      <c r="Y16" s="33">
        <v>0.69</v>
      </c>
      <c r="Z16" s="33">
        <v>0.69</v>
      </c>
      <c r="AA16" s="32">
        <f>AVERAGE(W16:Z16)</f>
        <v>0.69</v>
      </c>
      <c r="AB16" s="33">
        <v>0.68</v>
      </c>
      <c r="AC16" s="33">
        <v>0.68</v>
      </c>
      <c r="AD16" s="33">
        <v>0.68</v>
      </c>
      <c r="AE16" s="33">
        <v>0.68</v>
      </c>
      <c r="AF16" s="32">
        <f>AVERAGE(AB16:AE16)</f>
        <v>0.68</v>
      </c>
      <c r="AG16" s="10"/>
      <c r="AH16" s="10"/>
    </row>
    <row r="17" spans="1:35" ht="24" x14ac:dyDescent="0.3">
      <c r="A17" s="28" t="s">
        <v>152</v>
      </c>
      <c r="B17" s="31">
        <v>0.71</v>
      </c>
      <c r="C17" s="31">
        <v>0.71</v>
      </c>
      <c r="D17" s="31">
        <v>0.71</v>
      </c>
      <c r="E17" s="31">
        <v>0.71</v>
      </c>
      <c r="F17" s="32">
        <f>AVERAGE(B17:E17)</f>
        <v>0.71</v>
      </c>
      <c r="G17" s="31">
        <v>0.71499999999999997</v>
      </c>
      <c r="H17" s="31">
        <v>0.71499999999999997</v>
      </c>
      <c r="I17" s="31">
        <v>0.71499999999999997</v>
      </c>
      <c r="J17" s="31">
        <v>0.71499999999999997</v>
      </c>
      <c r="K17" s="32">
        <f>AVERAGE(G17:J17)</f>
        <v>0.71499999999999997</v>
      </c>
      <c r="L17" s="31">
        <v>0.72</v>
      </c>
      <c r="M17" s="31">
        <v>0.72</v>
      </c>
      <c r="N17" s="31">
        <v>0.72</v>
      </c>
      <c r="O17" s="31">
        <v>0.72</v>
      </c>
      <c r="P17" s="32">
        <f>AVERAGE(L17:O17)</f>
        <v>0.72</v>
      </c>
      <c r="Q17" s="10"/>
      <c r="R17" s="34">
        <f>CHOOSE(MATCH($B$2,{"Base","Bull","Bear"},0),R14,R15,R16)</f>
        <v>0.72</v>
      </c>
      <c r="S17" s="34">
        <f>CHOOSE(MATCH($B$2,{"Base","Bull","Bear"},0),S14,S15,S16)</f>
        <v>0.72</v>
      </c>
      <c r="T17" s="34">
        <f>CHOOSE(MATCH($B$2,{"Base","Bull","Bear"},0),T14,T15,T16)</f>
        <v>0.72</v>
      </c>
      <c r="U17" s="34">
        <f>CHOOSE(MATCH($B$2,{"Base","Bull","Bear"},0),U14,U15,U16)</f>
        <v>0.72</v>
      </c>
      <c r="V17" s="35">
        <f>AVERAGE(R17:U17)</f>
        <v>0.72</v>
      </c>
      <c r="W17" s="34">
        <f>CHOOSE(MATCH($B$2,{"Base","Bull","Bear"},0),W14,W15,W16)</f>
        <v>0.72499999999999998</v>
      </c>
      <c r="X17" s="34">
        <f>CHOOSE(MATCH($B$2,{"Base","Bull","Bear"},0),X14,X15,X16)</f>
        <v>0.72499999999999998</v>
      </c>
      <c r="Y17" s="34">
        <f>CHOOSE(MATCH($B$2,{"Base","Bull","Bear"},0),Y14,Y15,Y16)</f>
        <v>0.72499999999999998</v>
      </c>
      <c r="Z17" s="34">
        <f>CHOOSE(MATCH($B$2,{"Base","Bull","Bear"},0),Z14,Z15,Z16)</f>
        <v>0.72499999999999998</v>
      </c>
      <c r="AA17" s="35">
        <f>AVERAGE(W17:Z17)</f>
        <v>0.72499999999999998</v>
      </c>
      <c r="AB17" s="34">
        <f>CHOOSE(MATCH($B$2,{"Base","Bull","Bear"},0),AB14,AB15,AB16)</f>
        <v>0.73</v>
      </c>
      <c r="AC17" s="34">
        <f>CHOOSE(MATCH($B$2,{"Base","Bull","Bear"},0),AC14,AC15,AC16)</f>
        <v>0.73</v>
      </c>
      <c r="AD17" s="34">
        <f>CHOOSE(MATCH($B$2,{"Base","Bull","Bear"},0),AD14,AD15,AD16)</f>
        <v>0.73</v>
      </c>
      <c r="AE17" s="34">
        <f>CHOOSE(MATCH($B$2,{"Base","Bull","Bear"},0),AE14,AE15,AE16)</f>
        <v>0.73</v>
      </c>
      <c r="AF17" s="35">
        <f>AVERAGE(AB17:AE17)</f>
        <v>0.73</v>
      </c>
      <c r="AG17" s="10"/>
      <c r="AH17" s="10"/>
      <c r="AI17" s="20" t="s">
        <v>155</v>
      </c>
    </row>
    <row r="19" spans="1:35" ht="26" x14ac:dyDescent="0.25">
      <c r="A19" s="7" t="s">
        <v>156</v>
      </c>
    </row>
    <row r="20" spans="1:35" ht="14.5" x14ac:dyDescent="0.3">
      <c r="A20" s="24" t="s">
        <v>149</v>
      </c>
      <c r="B20" s="36">
        <v>188</v>
      </c>
      <c r="C20" s="36">
        <v>188</v>
      </c>
      <c r="D20" s="36">
        <v>188</v>
      </c>
      <c r="E20" s="36">
        <v>188</v>
      </c>
      <c r="F20" s="37">
        <f>AVERAGE(B20:E20)</f>
        <v>188</v>
      </c>
      <c r="G20" s="36">
        <v>190</v>
      </c>
      <c r="H20" s="36">
        <v>190</v>
      </c>
      <c r="I20" s="36">
        <v>190</v>
      </c>
      <c r="J20" s="36">
        <v>190</v>
      </c>
      <c r="K20" s="37">
        <f>AVERAGE(G20:J20)</f>
        <v>190</v>
      </c>
      <c r="L20" s="36">
        <v>173</v>
      </c>
      <c r="M20" s="36">
        <v>173</v>
      </c>
      <c r="N20" s="36">
        <v>173</v>
      </c>
      <c r="O20" s="36">
        <v>173</v>
      </c>
      <c r="P20" s="37">
        <f>AVERAGE(L20:O20)</f>
        <v>173</v>
      </c>
      <c r="Q20" s="10"/>
      <c r="R20" s="38">
        <v>175</v>
      </c>
      <c r="S20" s="38">
        <v>175</v>
      </c>
      <c r="T20" s="38">
        <v>175</v>
      </c>
      <c r="U20" s="38">
        <v>175</v>
      </c>
      <c r="V20" s="37">
        <f>AVERAGE(R20:U20)</f>
        <v>175</v>
      </c>
      <c r="W20" s="38">
        <v>182</v>
      </c>
      <c r="X20" s="38">
        <v>182</v>
      </c>
      <c r="Y20" s="38">
        <v>182</v>
      </c>
      <c r="Z20" s="38">
        <v>182</v>
      </c>
      <c r="AA20" s="37">
        <f>AVERAGE(W20:Z20)</f>
        <v>182</v>
      </c>
      <c r="AB20" s="38">
        <v>184</v>
      </c>
      <c r="AC20" s="38">
        <v>184</v>
      </c>
      <c r="AD20" s="38">
        <v>184</v>
      </c>
      <c r="AE20" s="38">
        <v>184</v>
      </c>
      <c r="AF20" s="37">
        <f>AVERAGE(AB20:AE20)</f>
        <v>184</v>
      </c>
      <c r="AG20" s="10"/>
      <c r="AH20" s="10"/>
    </row>
    <row r="21" spans="1:35" ht="14.5" x14ac:dyDescent="0.3">
      <c r="A21" s="24" t="s">
        <v>150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38">
        <v>180</v>
      </c>
      <c r="S21" s="38">
        <v>180</v>
      </c>
      <c r="T21" s="38">
        <v>180</v>
      </c>
      <c r="U21" s="38">
        <v>180</v>
      </c>
      <c r="V21" s="37">
        <f>AVERAGE(R21:U21)</f>
        <v>180</v>
      </c>
      <c r="W21" s="38">
        <v>190</v>
      </c>
      <c r="X21" s="38">
        <v>190</v>
      </c>
      <c r="Y21" s="38">
        <v>190</v>
      </c>
      <c r="Z21" s="38">
        <v>190</v>
      </c>
      <c r="AA21" s="37">
        <f>AVERAGE(W21:Z21)</f>
        <v>190</v>
      </c>
      <c r="AB21" s="38">
        <v>195</v>
      </c>
      <c r="AC21" s="38">
        <v>195</v>
      </c>
      <c r="AD21" s="38">
        <v>195</v>
      </c>
      <c r="AE21" s="38">
        <v>195</v>
      </c>
      <c r="AF21" s="37">
        <f>AVERAGE(AB21:AE21)</f>
        <v>195</v>
      </c>
      <c r="AG21" s="10"/>
      <c r="AH21" s="10"/>
    </row>
    <row r="22" spans="1:35" ht="14.5" x14ac:dyDescent="0.3">
      <c r="A22" s="24" t="s">
        <v>151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38">
        <v>170</v>
      </c>
      <c r="S22" s="38">
        <v>170</v>
      </c>
      <c r="T22" s="38">
        <v>170</v>
      </c>
      <c r="U22" s="38">
        <v>170</v>
      </c>
      <c r="V22" s="37">
        <f>AVERAGE(R22:U22)</f>
        <v>170</v>
      </c>
      <c r="W22" s="38">
        <v>172</v>
      </c>
      <c r="X22" s="38">
        <v>172</v>
      </c>
      <c r="Y22" s="38">
        <v>172</v>
      </c>
      <c r="Z22" s="38">
        <v>172</v>
      </c>
      <c r="AA22" s="37">
        <f>AVERAGE(W22:Z22)</f>
        <v>172</v>
      </c>
      <c r="AB22" s="38">
        <v>174</v>
      </c>
      <c r="AC22" s="38">
        <v>174</v>
      </c>
      <c r="AD22" s="38">
        <v>174</v>
      </c>
      <c r="AE22" s="38">
        <v>174</v>
      </c>
      <c r="AF22" s="37">
        <f>AVERAGE(AB22:AE22)</f>
        <v>174</v>
      </c>
      <c r="AG22" s="10"/>
      <c r="AH22" s="10"/>
    </row>
    <row r="23" spans="1:35" ht="24" x14ac:dyDescent="0.3">
      <c r="A23" s="28" t="s">
        <v>152</v>
      </c>
      <c r="B23" s="36">
        <v>188</v>
      </c>
      <c r="C23" s="36">
        <v>188</v>
      </c>
      <c r="D23" s="36">
        <v>188</v>
      </c>
      <c r="E23" s="36">
        <v>188</v>
      </c>
      <c r="F23" s="37">
        <f>AVERAGE(B23:E23)</f>
        <v>188</v>
      </c>
      <c r="G23" s="36">
        <v>190</v>
      </c>
      <c r="H23" s="36">
        <v>190</v>
      </c>
      <c r="I23" s="36">
        <v>190</v>
      </c>
      <c r="J23" s="36">
        <v>190</v>
      </c>
      <c r="K23" s="37">
        <f>AVERAGE(G23:J23)</f>
        <v>190</v>
      </c>
      <c r="L23" s="36">
        <v>173</v>
      </c>
      <c r="M23" s="36">
        <v>173</v>
      </c>
      <c r="N23" s="36">
        <v>173</v>
      </c>
      <c r="O23" s="36">
        <v>173</v>
      </c>
      <c r="P23" s="37">
        <f>AVERAGE(L23:O23)</f>
        <v>173</v>
      </c>
      <c r="Q23" s="10"/>
      <c r="R23" s="39">
        <f>CHOOSE(MATCH($B$2,{"Base","Bull","Bear"},0),R20,R21,R22)</f>
        <v>175</v>
      </c>
      <c r="S23" s="39">
        <f>CHOOSE(MATCH($B$2,{"Base","Bull","Bear"},0),S20,S21,S22)</f>
        <v>175</v>
      </c>
      <c r="T23" s="39">
        <f>CHOOSE(MATCH($B$2,{"Base","Bull","Bear"},0),T20,T21,T22)</f>
        <v>175</v>
      </c>
      <c r="U23" s="39">
        <f>CHOOSE(MATCH($B$2,{"Base","Bull","Bear"},0),U20,U21,U22)</f>
        <v>175</v>
      </c>
      <c r="V23" s="40">
        <f>AVERAGE(R23:U23)</f>
        <v>175</v>
      </c>
      <c r="W23" s="39">
        <f>CHOOSE(MATCH($B$2,{"Base","Bull","Bear"},0),W20,W21,W22)</f>
        <v>182</v>
      </c>
      <c r="X23" s="39">
        <f>CHOOSE(MATCH($B$2,{"Base","Bull","Bear"},0),X20,X21,X22)</f>
        <v>182</v>
      </c>
      <c r="Y23" s="39">
        <f>CHOOSE(MATCH($B$2,{"Base","Bull","Bear"},0),Y20,Y21,Y22)</f>
        <v>182</v>
      </c>
      <c r="Z23" s="39">
        <f>CHOOSE(MATCH($B$2,{"Base","Bull","Bear"},0),Z20,Z21,Z22)</f>
        <v>182</v>
      </c>
      <c r="AA23" s="40">
        <f>AVERAGE(W23:Z23)</f>
        <v>182</v>
      </c>
      <c r="AB23" s="39">
        <f>CHOOSE(MATCH($B$2,{"Base","Bull","Bear"},0),AB20,AB21,AB22)</f>
        <v>184</v>
      </c>
      <c r="AC23" s="39">
        <f>CHOOSE(MATCH($B$2,{"Base","Bull","Bear"},0),AC20,AC21,AC22)</f>
        <v>184</v>
      </c>
      <c r="AD23" s="39">
        <f>CHOOSE(MATCH($B$2,{"Base","Bull","Bear"},0),AD20,AD21,AD22)</f>
        <v>184</v>
      </c>
      <c r="AE23" s="39">
        <f>CHOOSE(MATCH($B$2,{"Base","Bull","Bear"},0),AE20,AE21,AE22)</f>
        <v>184</v>
      </c>
      <c r="AF23" s="40">
        <f>AVERAGE(AB23:AE23)</f>
        <v>184</v>
      </c>
      <c r="AG23" s="10"/>
      <c r="AH23" s="10"/>
      <c r="AI23" s="20" t="s">
        <v>157</v>
      </c>
    </row>
    <row r="25" spans="1:35" ht="15" x14ac:dyDescent="0.35">
      <c r="A25" s="9" t="s">
        <v>158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</row>
    <row r="26" spans="1:35" x14ac:dyDescent="0.25">
      <c r="A26" s="7" t="s">
        <v>159</v>
      </c>
    </row>
    <row r="27" spans="1:35" ht="14.5" x14ac:dyDescent="0.3">
      <c r="A27" s="24" t="s">
        <v>149</v>
      </c>
      <c r="B27" s="25">
        <v>2.875</v>
      </c>
      <c r="C27" s="25">
        <v>2.875</v>
      </c>
      <c r="D27" s="25">
        <v>2.875</v>
      </c>
      <c r="E27" s="25">
        <v>2.875</v>
      </c>
      <c r="F27" s="26">
        <f>SUM(B27:E27)</f>
        <v>11.5</v>
      </c>
      <c r="G27" s="25">
        <v>3</v>
      </c>
      <c r="H27" s="25">
        <v>3</v>
      </c>
      <c r="I27" s="25">
        <v>3</v>
      </c>
      <c r="J27" s="25">
        <v>3</v>
      </c>
      <c r="K27" s="26">
        <f>SUM(G27:J27)</f>
        <v>12</v>
      </c>
      <c r="L27" s="25">
        <v>3.375</v>
      </c>
      <c r="M27" s="25">
        <v>3.375</v>
      </c>
      <c r="N27" s="25">
        <v>3.375</v>
      </c>
      <c r="O27" s="25">
        <v>3.375</v>
      </c>
      <c r="P27" s="26">
        <f>SUM(L27:O27)</f>
        <v>13.5</v>
      </c>
      <c r="Q27" s="10"/>
      <c r="R27" s="27">
        <v>3.375</v>
      </c>
      <c r="S27" s="27">
        <v>3.375</v>
      </c>
      <c r="T27" s="27">
        <v>3.375</v>
      </c>
      <c r="U27" s="27">
        <v>3.375</v>
      </c>
      <c r="V27" s="26">
        <f>SUM(R27:U27)</f>
        <v>13.5</v>
      </c>
      <c r="W27" s="27">
        <v>3.625</v>
      </c>
      <c r="X27" s="27">
        <v>3.625</v>
      </c>
      <c r="Y27" s="27">
        <v>3.625</v>
      </c>
      <c r="Z27" s="27">
        <v>3.625</v>
      </c>
      <c r="AA27" s="26">
        <f>SUM(W27:Z27)</f>
        <v>14.5</v>
      </c>
      <c r="AB27" s="27">
        <v>3.875</v>
      </c>
      <c r="AC27" s="27">
        <v>3.875</v>
      </c>
      <c r="AD27" s="27">
        <v>3.875</v>
      </c>
      <c r="AE27" s="27">
        <v>3.875</v>
      </c>
      <c r="AF27" s="26">
        <f>SUM(AB27:AE27)</f>
        <v>15.5</v>
      </c>
      <c r="AG27" s="10"/>
      <c r="AH27" s="10"/>
    </row>
    <row r="28" spans="1:35" ht="14.5" x14ac:dyDescent="0.3">
      <c r="A28" s="24" t="s">
        <v>150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27">
        <v>3.625</v>
      </c>
      <c r="S28" s="27">
        <v>3.625</v>
      </c>
      <c r="T28" s="27">
        <v>3.625</v>
      </c>
      <c r="U28" s="27">
        <v>3.625</v>
      </c>
      <c r="V28" s="26">
        <f>SUM(R28:U28)</f>
        <v>14.5</v>
      </c>
      <c r="W28" s="27">
        <v>4</v>
      </c>
      <c r="X28" s="27">
        <v>4</v>
      </c>
      <c r="Y28" s="27">
        <v>4</v>
      </c>
      <c r="Z28" s="27">
        <v>4</v>
      </c>
      <c r="AA28" s="26">
        <f>SUM(W28:Z28)</f>
        <v>16</v>
      </c>
      <c r="AB28" s="27">
        <v>4.375</v>
      </c>
      <c r="AC28" s="27">
        <v>4.375</v>
      </c>
      <c r="AD28" s="27">
        <v>4.375</v>
      </c>
      <c r="AE28" s="27">
        <v>4.375</v>
      </c>
      <c r="AF28" s="26">
        <f>SUM(AB28:AE28)</f>
        <v>17.5</v>
      </c>
      <c r="AG28" s="10"/>
      <c r="AH28" s="10"/>
    </row>
    <row r="29" spans="1:35" ht="14.5" x14ac:dyDescent="0.3">
      <c r="A29" s="24" t="s">
        <v>151</v>
      </c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27">
        <v>3.125</v>
      </c>
      <c r="S29" s="27">
        <v>3.125</v>
      </c>
      <c r="T29" s="27">
        <v>3.125</v>
      </c>
      <c r="U29" s="27">
        <v>3.125</v>
      </c>
      <c r="V29" s="26">
        <f>SUM(R29:U29)</f>
        <v>12.5</v>
      </c>
      <c r="W29" s="27">
        <v>3.25</v>
      </c>
      <c r="X29" s="27">
        <v>3.25</v>
      </c>
      <c r="Y29" s="27">
        <v>3.25</v>
      </c>
      <c r="Z29" s="27">
        <v>3.25</v>
      </c>
      <c r="AA29" s="26">
        <f>SUM(W29:Z29)</f>
        <v>13</v>
      </c>
      <c r="AB29" s="27">
        <v>3.375</v>
      </c>
      <c r="AC29" s="27">
        <v>3.375</v>
      </c>
      <c r="AD29" s="27">
        <v>3.375</v>
      </c>
      <c r="AE29" s="27">
        <v>3.375</v>
      </c>
      <c r="AF29" s="26">
        <f>SUM(AB29:AE29)</f>
        <v>13.5</v>
      </c>
      <c r="AG29" s="10"/>
      <c r="AH29" s="10"/>
    </row>
    <row r="30" spans="1:35" ht="24" x14ac:dyDescent="0.3">
      <c r="A30" s="28" t="s">
        <v>152</v>
      </c>
      <c r="B30" s="25">
        <v>2.875</v>
      </c>
      <c r="C30" s="25">
        <v>2.875</v>
      </c>
      <c r="D30" s="25">
        <v>2.875</v>
      </c>
      <c r="E30" s="25">
        <v>2.875</v>
      </c>
      <c r="F30" s="26">
        <f>SUM(B30:E30)</f>
        <v>11.5</v>
      </c>
      <c r="G30" s="25">
        <v>3</v>
      </c>
      <c r="H30" s="25">
        <v>3</v>
      </c>
      <c r="I30" s="25">
        <v>3</v>
      </c>
      <c r="J30" s="25">
        <v>3</v>
      </c>
      <c r="K30" s="26">
        <f>SUM(G30:J30)</f>
        <v>12</v>
      </c>
      <c r="L30" s="25">
        <v>3.375</v>
      </c>
      <c r="M30" s="25">
        <v>3.375</v>
      </c>
      <c r="N30" s="25">
        <v>3.375</v>
      </c>
      <c r="O30" s="25">
        <v>3.375</v>
      </c>
      <c r="P30" s="26">
        <f>SUM(L30:O30)</f>
        <v>13.5</v>
      </c>
      <c r="Q30" s="10"/>
      <c r="R30" s="29">
        <f>CHOOSE(MATCH($B$2,{"Base","Bull","Bear"},0),R27,R28,R29)</f>
        <v>3.375</v>
      </c>
      <c r="S30" s="29">
        <f>CHOOSE(MATCH($B$2,{"Base","Bull","Bear"},0),S27,S28,S29)</f>
        <v>3.375</v>
      </c>
      <c r="T30" s="29">
        <f>CHOOSE(MATCH($B$2,{"Base","Bull","Bear"},0),T27,T28,T29)</f>
        <v>3.375</v>
      </c>
      <c r="U30" s="29">
        <f>CHOOSE(MATCH($B$2,{"Base","Bull","Bear"},0),U27,U28,U29)</f>
        <v>3.375</v>
      </c>
      <c r="V30" s="30">
        <f>SUM(R30:U30)</f>
        <v>13.5</v>
      </c>
      <c r="W30" s="29">
        <f>CHOOSE(MATCH($B$2,{"Base","Bull","Bear"},0),W27,W28,W29)</f>
        <v>3.625</v>
      </c>
      <c r="X30" s="29">
        <f>CHOOSE(MATCH($B$2,{"Base","Bull","Bear"},0),X27,X28,X29)</f>
        <v>3.625</v>
      </c>
      <c r="Y30" s="29">
        <f>CHOOSE(MATCH($B$2,{"Base","Bull","Bear"},0),Y27,Y28,Y29)</f>
        <v>3.625</v>
      </c>
      <c r="Z30" s="29">
        <f>CHOOSE(MATCH($B$2,{"Base","Bull","Bear"},0),Z27,Z28,Z29)</f>
        <v>3.625</v>
      </c>
      <c r="AA30" s="30">
        <f>SUM(W30:Z30)</f>
        <v>14.5</v>
      </c>
      <c r="AB30" s="29">
        <f>CHOOSE(MATCH($B$2,{"Base","Bull","Bear"},0),AB27,AB28,AB29)</f>
        <v>3.875</v>
      </c>
      <c r="AC30" s="29">
        <f>CHOOSE(MATCH($B$2,{"Base","Bull","Bear"},0),AC27,AC28,AC29)</f>
        <v>3.875</v>
      </c>
      <c r="AD30" s="29">
        <f>CHOOSE(MATCH($B$2,{"Base","Bull","Bear"},0),AD27,AD28,AD29)</f>
        <v>3.875</v>
      </c>
      <c r="AE30" s="29">
        <f>CHOOSE(MATCH($B$2,{"Base","Bull","Bear"},0),AE27,AE28,AE29)</f>
        <v>3.875</v>
      </c>
      <c r="AF30" s="30">
        <f>SUM(AB30:AE30)</f>
        <v>15.5</v>
      </c>
      <c r="AG30" s="10"/>
      <c r="AH30" s="10"/>
      <c r="AI30" s="20" t="s">
        <v>160</v>
      </c>
    </row>
    <row r="32" spans="1:35" ht="26" x14ac:dyDescent="0.25">
      <c r="A32" s="7" t="s">
        <v>161</v>
      </c>
    </row>
    <row r="33" spans="1:35" ht="14.5" x14ac:dyDescent="0.3">
      <c r="A33" s="24" t="s">
        <v>149</v>
      </c>
      <c r="B33" s="31">
        <v>0.77500000000000002</v>
      </c>
      <c r="C33" s="31">
        <v>0.77500000000000002</v>
      </c>
      <c r="D33" s="31">
        <v>0.77500000000000002</v>
      </c>
      <c r="E33" s="31">
        <v>0.77500000000000002</v>
      </c>
      <c r="F33" s="32">
        <f>AVERAGE(B33:E33)</f>
        <v>0.77500000000000002</v>
      </c>
      <c r="G33" s="31">
        <v>0.76</v>
      </c>
      <c r="H33" s="31">
        <v>0.76</v>
      </c>
      <c r="I33" s="31">
        <v>0.76</v>
      </c>
      <c r="J33" s="31">
        <v>0.76</v>
      </c>
      <c r="K33" s="32">
        <f>AVERAGE(G33:J33)</f>
        <v>0.76</v>
      </c>
      <c r="L33" s="31">
        <v>0.73</v>
      </c>
      <c r="M33" s="31">
        <v>0.73</v>
      </c>
      <c r="N33" s="31">
        <v>0.73</v>
      </c>
      <c r="O33" s="31">
        <v>0.73</v>
      </c>
      <c r="P33" s="32">
        <f>AVERAGE(L33:O33)</f>
        <v>0.73</v>
      </c>
      <c r="Q33" s="10"/>
      <c r="R33" s="33">
        <v>0.7</v>
      </c>
      <c r="S33" s="33">
        <v>0.7</v>
      </c>
      <c r="T33" s="33">
        <v>0.7</v>
      </c>
      <c r="U33" s="33">
        <v>0.7</v>
      </c>
      <c r="V33" s="32">
        <f>AVERAGE(R33:U33)</f>
        <v>0.7</v>
      </c>
      <c r="W33" s="33">
        <v>0.7</v>
      </c>
      <c r="X33" s="33">
        <v>0.7</v>
      </c>
      <c r="Y33" s="33">
        <v>0.7</v>
      </c>
      <c r="Z33" s="33">
        <v>0.7</v>
      </c>
      <c r="AA33" s="32">
        <f>AVERAGE(W33:Z33)</f>
        <v>0.7</v>
      </c>
      <c r="AB33" s="33">
        <v>0.7</v>
      </c>
      <c r="AC33" s="33">
        <v>0.7</v>
      </c>
      <c r="AD33" s="33">
        <v>0.7</v>
      </c>
      <c r="AE33" s="33">
        <v>0.7</v>
      </c>
      <c r="AF33" s="32">
        <f>AVERAGE(AB33:AE33)</f>
        <v>0.7</v>
      </c>
      <c r="AG33" s="10"/>
      <c r="AH33" s="10"/>
    </row>
    <row r="34" spans="1:35" ht="14.5" x14ac:dyDescent="0.3">
      <c r="A34" s="24" t="s">
        <v>150</v>
      </c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33">
        <v>0.72</v>
      </c>
      <c r="S34" s="33">
        <v>0.72</v>
      </c>
      <c r="T34" s="33">
        <v>0.72</v>
      </c>
      <c r="U34" s="33">
        <v>0.72</v>
      </c>
      <c r="V34" s="32">
        <f>AVERAGE(R34:U34)</f>
        <v>0.72</v>
      </c>
      <c r="W34" s="33">
        <v>0.73</v>
      </c>
      <c r="X34" s="33">
        <v>0.73</v>
      </c>
      <c r="Y34" s="33">
        <v>0.73</v>
      </c>
      <c r="Z34" s="33">
        <v>0.73</v>
      </c>
      <c r="AA34" s="32">
        <f>AVERAGE(W34:Z34)</f>
        <v>0.73</v>
      </c>
      <c r="AB34" s="33">
        <v>0.74</v>
      </c>
      <c r="AC34" s="33">
        <v>0.74</v>
      </c>
      <c r="AD34" s="33">
        <v>0.74</v>
      </c>
      <c r="AE34" s="33">
        <v>0.74</v>
      </c>
      <c r="AF34" s="32">
        <f>AVERAGE(AB34:AE34)</f>
        <v>0.74</v>
      </c>
      <c r="AG34" s="10"/>
      <c r="AH34" s="10"/>
    </row>
    <row r="35" spans="1:35" ht="14.5" x14ac:dyDescent="0.3">
      <c r="A35" s="24" t="s">
        <v>151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33">
        <v>0.67</v>
      </c>
      <c r="S35" s="33">
        <v>0.67</v>
      </c>
      <c r="T35" s="33">
        <v>0.67</v>
      </c>
      <c r="U35" s="33">
        <v>0.67</v>
      </c>
      <c r="V35" s="32">
        <f>AVERAGE(R35:U35)</f>
        <v>0.67</v>
      </c>
      <c r="W35" s="33">
        <v>0.65</v>
      </c>
      <c r="X35" s="33">
        <v>0.65</v>
      </c>
      <c r="Y35" s="33">
        <v>0.65</v>
      </c>
      <c r="Z35" s="33">
        <v>0.65</v>
      </c>
      <c r="AA35" s="32">
        <f>AVERAGE(W35:Z35)</f>
        <v>0.65</v>
      </c>
      <c r="AB35" s="33">
        <v>0.63</v>
      </c>
      <c r="AC35" s="33">
        <v>0.63</v>
      </c>
      <c r="AD35" s="33">
        <v>0.63</v>
      </c>
      <c r="AE35" s="33">
        <v>0.63</v>
      </c>
      <c r="AF35" s="32">
        <f>AVERAGE(AB35:AE35)</f>
        <v>0.63</v>
      </c>
      <c r="AG35" s="10"/>
      <c r="AH35" s="10"/>
    </row>
    <row r="36" spans="1:35" ht="24" x14ac:dyDescent="0.3">
      <c r="A36" s="28" t="s">
        <v>152</v>
      </c>
      <c r="B36" s="31">
        <v>0.77500000000000002</v>
      </c>
      <c r="C36" s="31">
        <v>0.77500000000000002</v>
      </c>
      <c r="D36" s="31">
        <v>0.77500000000000002</v>
      </c>
      <c r="E36" s="31">
        <v>0.77500000000000002</v>
      </c>
      <c r="F36" s="32">
        <f>AVERAGE(B36:E36)</f>
        <v>0.77500000000000002</v>
      </c>
      <c r="G36" s="31">
        <v>0.76</v>
      </c>
      <c r="H36" s="31">
        <v>0.76</v>
      </c>
      <c r="I36" s="31">
        <v>0.76</v>
      </c>
      <c r="J36" s="31">
        <v>0.76</v>
      </c>
      <c r="K36" s="32">
        <f>AVERAGE(G36:J36)</f>
        <v>0.76</v>
      </c>
      <c r="L36" s="31">
        <v>0.73</v>
      </c>
      <c r="M36" s="31">
        <v>0.73</v>
      </c>
      <c r="N36" s="31">
        <v>0.73</v>
      </c>
      <c r="O36" s="31">
        <v>0.73</v>
      </c>
      <c r="P36" s="32">
        <f>AVERAGE(L36:O36)</f>
        <v>0.73</v>
      </c>
      <c r="Q36" s="10"/>
      <c r="R36" s="34">
        <f>CHOOSE(MATCH($B$2,{"Base","Bull","Bear"},0),R33,R34,R35)</f>
        <v>0.7</v>
      </c>
      <c r="S36" s="34">
        <f>CHOOSE(MATCH($B$2,{"Base","Bull","Bear"},0),S33,S34,S35)</f>
        <v>0.7</v>
      </c>
      <c r="T36" s="34">
        <f>CHOOSE(MATCH($B$2,{"Base","Bull","Bear"},0),T33,T34,T35)</f>
        <v>0.7</v>
      </c>
      <c r="U36" s="34">
        <f>CHOOSE(MATCH($B$2,{"Base","Bull","Bear"},0),U33,U34,U35)</f>
        <v>0.7</v>
      </c>
      <c r="V36" s="35">
        <f>AVERAGE(R36:U36)</f>
        <v>0.7</v>
      </c>
      <c r="W36" s="34">
        <f>CHOOSE(MATCH($B$2,{"Base","Bull","Bear"},0),W33,W34,W35)</f>
        <v>0.7</v>
      </c>
      <c r="X36" s="34">
        <f>CHOOSE(MATCH($B$2,{"Base","Bull","Bear"},0),X33,X34,X35)</f>
        <v>0.7</v>
      </c>
      <c r="Y36" s="34">
        <f>CHOOSE(MATCH($B$2,{"Base","Bull","Bear"},0),Y33,Y34,Y35)</f>
        <v>0.7</v>
      </c>
      <c r="Z36" s="34">
        <f>CHOOSE(MATCH($B$2,{"Base","Bull","Bear"},0),Z33,Z34,Z35)</f>
        <v>0.7</v>
      </c>
      <c r="AA36" s="35">
        <f>AVERAGE(W36:Z36)</f>
        <v>0.7</v>
      </c>
      <c r="AB36" s="34">
        <f>CHOOSE(MATCH($B$2,{"Base","Bull","Bear"},0),AB33,AB34,AB35)</f>
        <v>0.7</v>
      </c>
      <c r="AC36" s="34">
        <f>CHOOSE(MATCH($B$2,{"Base","Bull","Bear"},0),AC33,AC34,AC35)</f>
        <v>0.7</v>
      </c>
      <c r="AD36" s="34">
        <f>CHOOSE(MATCH($B$2,{"Base","Bull","Bear"},0),AD33,AD34,AD35)</f>
        <v>0.7</v>
      </c>
      <c r="AE36" s="34">
        <f>CHOOSE(MATCH($B$2,{"Base","Bull","Bear"},0),AE33,AE34,AE35)</f>
        <v>0.7</v>
      </c>
      <c r="AF36" s="35">
        <f>AVERAGE(AB36:AE36)</f>
        <v>0.7</v>
      </c>
      <c r="AG36" s="10"/>
      <c r="AH36" s="10"/>
      <c r="AI36" s="20" t="s">
        <v>162</v>
      </c>
    </row>
    <row r="38" spans="1:35" ht="26" x14ac:dyDescent="0.25">
      <c r="A38" s="7" t="s">
        <v>163</v>
      </c>
    </row>
    <row r="39" spans="1:35" ht="14.5" x14ac:dyDescent="0.3">
      <c r="A39" s="24" t="s">
        <v>149</v>
      </c>
      <c r="B39" s="41">
        <v>1772</v>
      </c>
      <c r="C39" s="41">
        <v>1772</v>
      </c>
      <c r="D39" s="41">
        <v>1772</v>
      </c>
      <c r="E39" s="41">
        <v>1772</v>
      </c>
      <c r="F39" s="42">
        <f>AVERAGE(B39:E39)</f>
        <v>1772</v>
      </c>
      <c r="G39" s="41">
        <v>1712</v>
      </c>
      <c r="H39" s="41">
        <v>1712</v>
      </c>
      <c r="I39" s="41">
        <v>1712</v>
      </c>
      <c r="J39" s="41">
        <v>1712</v>
      </c>
      <c r="K39" s="42">
        <f>AVERAGE(G39:J39)</f>
        <v>1712</v>
      </c>
      <c r="L39" s="41">
        <v>1632</v>
      </c>
      <c r="M39" s="41">
        <v>1632</v>
      </c>
      <c r="N39" s="41">
        <v>1632</v>
      </c>
      <c r="O39" s="41">
        <v>1632</v>
      </c>
      <c r="P39" s="42">
        <f>AVERAGE(L39:O39)</f>
        <v>1632</v>
      </c>
      <c r="Q39" s="10"/>
      <c r="R39" s="43">
        <v>1600</v>
      </c>
      <c r="S39" s="43">
        <v>1600</v>
      </c>
      <c r="T39" s="43">
        <v>1600</v>
      </c>
      <c r="U39" s="43">
        <v>1600</v>
      </c>
      <c r="V39" s="42">
        <f>AVERAGE(R39:U39)</f>
        <v>1600</v>
      </c>
      <c r="W39" s="43">
        <v>1700</v>
      </c>
      <c r="X39" s="43">
        <v>1700</v>
      </c>
      <c r="Y39" s="43">
        <v>1700</v>
      </c>
      <c r="Z39" s="43">
        <v>1700</v>
      </c>
      <c r="AA39" s="42">
        <f>AVERAGE(W39:Z39)</f>
        <v>1700</v>
      </c>
      <c r="AB39" s="43">
        <v>1750</v>
      </c>
      <c r="AC39" s="43">
        <v>1750</v>
      </c>
      <c r="AD39" s="43">
        <v>1750</v>
      </c>
      <c r="AE39" s="43">
        <v>1750</v>
      </c>
      <c r="AF39" s="42">
        <f>AVERAGE(AB39:AE39)</f>
        <v>1750</v>
      </c>
      <c r="AG39" s="10"/>
      <c r="AH39" s="10"/>
    </row>
    <row r="40" spans="1:35" ht="14.5" x14ac:dyDescent="0.3">
      <c r="A40" s="24" t="s">
        <v>150</v>
      </c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43">
        <v>1750</v>
      </c>
      <c r="S40" s="43">
        <v>1750</v>
      </c>
      <c r="T40" s="43">
        <v>1750</v>
      </c>
      <c r="U40" s="43">
        <v>1750</v>
      </c>
      <c r="V40" s="42">
        <f>AVERAGE(R40:U40)</f>
        <v>1750</v>
      </c>
      <c r="W40" s="43">
        <v>1850</v>
      </c>
      <c r="X40" s="43">
        <v>1850</v>
      </c>
      <c r="Y40" s="43">
        <v>1850</v>
      </c>
      <c r="Z40" s="43">
        <v>1850</v>
      </c>
      <c r="AA40" s="42">
        <f>AVERAGE(W40:Z40)</f>
        <v>1850</v>
      </c>
      <c r="AB40" s="43">
        <v>1950</v>
      </c>
      <c r="AC40" s="43">
        <v>1950</v>
      </c>
      <c r="AD40" s="43">
        <v>1950</v>
      </c>
      <c r="AE40" s="43">
        <v>1950</v>
      </c>
      <c r="AF40" s="42">
        <f>AVERAGE(AB40:AE40)</f>
        <v>1950</v>
      </c>
      <c r="AG40" s="10"/>
      <c r="AH40" s="10"/>
    </row>
    <row r="41" spans="1:35" ht="14.5" x14ac:dyDescent="0.3">
      <c r="A41" s="24" t="s">
        <v>151</v>
      </c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43">
        <v>1500</v>
      </c>
      <c r="S41" s="43">
        <v>1500</v>
      </c>
      <c r="T41" s="43">
        <v>1500</v>
      </c>
      <c r="U41" s="43">
        <v>1500</v>
      </c>
      <c r="V41" s="42">
        <f>AVERAGE(R41:U41)</f>
        <v>1500</v>
      </c>
      <c r="W41" s="43">
        <v>1550</v>
      </c>
      <c r="X41" s="43">
        <v>1550</v>
      </c>
      <c r="Y41" s="43">
        <v>1550</v>
      </c>
      <c r="Z41" s="43">
        <v>1550</v>
      </c>
      <c r="AA41" s="42">
        <f>AVERAGE(W41:Z41)</f>
        <v>1550</v>
      </c>
      <c r="AB41" s="43">
        <v>1580</v>
      </c>
      <c r="AC41" s="43">
        <v>1580</v>
      </c>
      <c r="AD41" s="43">
        <v>1580</v>
      </c>
      <c r="AE41" s="43">
        <v>1580</v>
      </c>
      <c r="AF41" s="42">
        <f>AVERAGE(AB41:AE41)</f>
        <v>1580</v>
      </c>
      <c r="AG41" s="10"/>
      <c r="AH41" s="10"/>
    </row>
    <row r="42" spans="1:35" ht="24" x14ac:dyDescent="0.3">
      <c r="A42" s="28" t="s">
        <v>152</v>
      </c>
      <c r="B42" s="41">
        <v>1772</v>
      </c>
      <c r="C42" s="41">
        <v>1772</v>
      </c>
      <c r="D42" s="41">
        <v>1772</v>
      </c>
      <c r="E42" s="41">
        <v>1772</v>
      </c>
      <c r="F42" s="42">
        <f>AVERAGE(B42:E42)</f>
        <v>1772</v>
      </c>
      <c r="G42" s="41">
        <v>1712</v>
      </c>
      <c r="H42" s="41">
        <v>1712</v>
      </c>
      <c r="I42" s="41">
        <v>1712</v>
      </c>
      <c r="J42" s="41">
        <v>1712</v>
      </c>
      <c r="K42" s="42">
        <f>AVERAGE(G42:J42)</f>
        <v>1712</v>
      </c>
      <c r="L42" s="41">
        <v>1632</v>
      </c>
      <c r="M42" s="41">
        <v>1632</v>
      </c>
      <c r="N42" s="41">
        <v>1632</v>
      </c>
      <c r="O42" s="41">
        <v>1632</v>
      </c>
      <c r="P42" s="42">
        <f>AVERAGE(L42:O42)</f>
        <v>1632</v>
      </c>
      <c r="Q42" s="10"/>
      <c r="R42" s="44">
        <f>CHOOSE(MATCH($B$2,{"Base","Bull","Bear"},0),R39,R40,R41)</f>
        <v>1600</v>
      </c>
      <c r="S42" s="44">
        <f>CHOOSE(MATCH($B$2,{"Base","Bull","Bear"},0),S39,S40,S41)</f>
        <v>1600</v>
      </c>
      <c r="T42" s="44">
        <f>CHOOSE(MATCH($B$2,{"Base","Bull","Bear"},0),T39,T40,T41)</f>
        <v>1600</v>
      </c>
      <c r="U42" s="44">
        <f>CHOOSE(MATCH($B$2,{"Base","Bull","Bear"},0),U39,U40,U41)</f>
        <v>1600</v>
      </c>
      <c r="V42" s="45">
        <f>AVERAGE(R42:U42)</f>
        <v>1600</v>
      </c>
      <c r="W42" s="44">
        <f>CHOOSE(MATCH($B$2,{"Base","Bull","Bear"},0),W39,W40,W41)</f>
        <v>1700</v>
      </c>
      <c r="X42" s="44">
        <f>CHOOSE(MATCH($B$2,{"Base","Bull","Bear"},0),X39,X40,X41)</f>
        <v>1700</v>
      </c>
      <c r="Y42" s="44">
        <f>CHOOSE(MATCH($B$2,{"Base","Bull","Bear"},0),Y39,Y40,Y41)</f>
        <v>1700</v>
      </c>
      <c r="Z42" s="44">
        <f>CHOOSE(MATCH($B$2,{"Base","Bull","Bear"},0),Z39,Z40,Z41)</f>
        <v>1700</v>
      </c>
      <c r="AA42" s="45">
        <f>AVERAGE(W42:Z42)</f>
        <v>1700</v>
      </c>
      <c r="AB42" s="44">
        <f>CHOOSE(MATCH($B$2,{"Base","Bull","Bear"},0),AB39,AB40,AB41)</f>
        <v>1750</v>
      </c>
      <c r="AC42" s="44">
        <f>CHOOSE(MATCH($B$2,{"Base","Bull","Bear"},0),AC39,AC40,AC41)</f>
        <v>1750</v>
      </c>
      <c r="AD42" s="44">
        <f>CHOOSE(MATCH($B$2,{"Base","Bull","Bear"},0),AD39,AD40,AD41)</f>
        <v>1750</v>
      </c>
      <c r="AE42" s="44">
        <f>CHOOSE(MATCH($B$2,{"Base","Bull","Bear"},0),AE39,AE40,AE41)</f>
        <v>1750</v>
      </c>
      <c r="AF42" s="45">
        <f>AVERAGE(AB42:AE42)</f>
        <v>1750</v>
      </c>
      <c r="AG42" s="10"/>
      <c r="AH42" s="10"/>
      <c r="AI42" s="20" t="s">
        <v>164</v>
      </c>
    </row>
    <row r="44" spans="1:35" x14ac:dyDescent="0.25">
      <c r="A44" s="7" t="s">
        <v>165</v>
      </c>
    </row>
    <row r="45" spans="1:35" ht="14.5" x14ac:dyDescent="0.3">
      <c r="A45" s="24" t="s">
        <v>149</v>
      </c>
      <c r="B45" s="41">
        <v>50</v>
      </c>
      <c r="C45" s="41">
        <v>50</v>
      </c>
      <c r="D45" s="41">
        <v>50</v>
      </c>
      <c r="E45" s="41">
        <v>50</v>
      </c>
      <c r="F45" s="42">
        <f>SUM(B45:E45)</f>
        <v>200</v>
      </c>
      <c r="G45" s="41">
        <v>125</v>
      </c>
      <c r="H45" s="41">
        <v>125</v>
      </c>
      <c r="I45" s="41">
        <v>125</v>
      </c>
      <c r="J45" s="41">
        <v>125</v>
      </c>
      <c r="K45" s="42">
        <f>SUM(G45:J45)</f>
        <v>500</v>
      </c>
      <c r="L45" s="41">
        <v>200</v>
      </c>
      <c r="M45" s="41">
        <v>200</v>
      </c>
      <c r="N45" s="41">
        <v>200</v>
      </c>
      <c r="O45" s="41">
        <v>200</v>
      </c>
      <c r="P45" s="42">
        <f>SUM(L45:O45)</f>
        <v>800</v>
      </c>
      <c r="Q45" s="10"/>
      <c r="R45" s="43">
        <v>700</v>
      </c>
      <c r="S45" s="43">
        <v>700</v>
      </c>
      <c r="T45" s="43">
        <v>700</v>
      </c>
      <c r="U45" s="43">
        <v>700</v>
      </c>
      <c r="V45" s="42">
        <f>SUM(R45:U45)</f>
        <v>2800</v>
      </c>
      <c r="W45" s="43">
        <v>1125</v>
      </c>
      <c r="X45" s="43">
        <v>1125</v>
      </c>
      <c r="Y45" s="43">
        <v>1125</v>
      </c>
      <c r="Z45" s="43">
        <v>1125</v>
      </c>
      <c r="AA45" s="42">
        <f>SUM(W45:Z45)</f>
        <v>4500</v>
      </c>
      <c r="AB45" s="43">
        <v>1500</v>
      </c>
      <c r="AC45" s="43">
        <v>1500</v>
      </c>
      <c r="AD45" s="43">
        <v>1500</v>
      </c>
      <c r="AE45" s="43">
        <v>1500</v>
      </c>
      <c r="AF45" s="42">
        <f>SUM(AB45:AE45)</f>
        <v>6000</v>
      </c>
      <c r="AG45" s="10"/>
      <c r="AH45" s="10"/>
    </row>
    <row r="46" spans="1:35" ht="14.5" x14ac:dyDescent="0.3">
      <c r="A46" s="24" t="s">
        <v>150</v>
      </c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43">
        <v>875</v>
      </c>
      <c r="S46" s="43">
        <v>875</v>
      </c>
      <c r="T46" s="43">
        <v>875</v>
      </c>
      <c r="U46" s="43">
        <v>875</v>
      </c>
      <c r="V46" s="42">
        <f>SUM(R46:U46)</f>
        <v>3500</v>
      </c>
      <c r="W46" s="43">
        <v>1500</v>
      </c>
      <c r="X46" s="43">
        <v>1500</v>
      </c>
      <c r="Y46" s="43">
        <v>1500</v>
      </c>
      <c r="Z46" s="43">
        <v>1500</v>
      </c>
      <c r="AA46" s="42">
        <f>SUM(W46:Z46)</f>
        <v>6000</v>
      </c>
      <c r="AB46" s="43">
        <v>2125</v>
      </c>
      <c r="AC46" s="43">
        <v>2125</v>
      </c>
      <c r="AD46" s="43">
        <v>2125</v>
      </c>
      <c r="AE46" s="43">
        <v>2125</v>
      </c>
      <c r="AF46" s="42">
        <f>SUM(AB46:AE46)</f>
        <v>8500</v>
      </c>
      <c r="AG46" s="10"/>
      <c r="AH46" s="10"/>
    </row>
    <row r="47" spans="1:35" ht="14.5" x14ac:dyDescent="0.3">
      <c r="A47" s="24" t="s">
        <v>151</v>
      </c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43">
        <v>500</v>
      </c>
      <c r="S47" s="43">
        <v>500</v>
      </c>
      <c r="T47" s="43">
        <v>500</v>
      </c>
      <c r="U47" s="43">
        <v>500</v>
      </c>
      <c r="V47" s="42">
        <f>SUM(R47:U47)</f>
        <v>2000</v>
      </c>
      <c r="W47" s="43">
        <v>750</v>
      </c>
      <c r="X47" s="43">
        <v>750</v>
      </c>
      <c r="Y47" s="43">
        <v>750</v>
      </c>
      <c r="Z47" s="43">
        <v>750</v>
      </c>
      <c r="AA47" s="42">
        <f>SUM(W47:Z47)</f>
        <v>3000</v>
      </c>
      <c r="AB47" s="43">
        <v>950</v>
      </c>
      <c r="AC47" s="43">
        <v>950</v>
      </c>
      <c r="AD47" s="43">
        <v>950</v>
      </c>
      <c r="AE47" s="43">
        <v>950</v>
      </c>
      <c r="AF47" s="42">
        <f>SUM(AB47:AE47)</f>
        <v>3800</v>
      </c>
      <c r="AG47" s="10"/>
      <c r="AH47" s="10"/>
    </row>
    <row r="48" spans="1:35" ht="24" x14ac:dyDescent="0.3">
      <c r="A48" s="28" t="s">
        <v>152</v>
      </c>
      <c r="B48" s="41">
        <v>50</v>
      </c>
      <c r="C48" s="41">
        <v>50</v>
      </c>
      <c r="D48" s="41">
        <v>50</v>
      </c>
      <c r="E48" s="41">
        <v>50</v>
      </c>
      <c r="F48" s="42">
        <f>SUM(B48:E48)</f>
        <v>200</v>
      </c>
      <c r="G48" s="41">
        <v>125</v>
      </c>
      <c r="H48" s="41">
        <v>125</v>
      </c>
      <c r="I48" s="41">
        <v>125</v>
      </c>
      <c r="J48" s="41">
        <v>125</v>
      </c>
      <c r="K48" s="42">
        <f>SUM(G48:J48)</f>
        <v>500</v>
      </c>
      <c r="L48" s="41">
        <v>200</v>
      </c>
      <c r="M48" s="41">
        <v>200</v>
      </c>
      <c r="N48" s="41">
        <v>200</v>
      </c>
      <c r="O48" s="41">
        <v>200</v>
      </c>
      <c r="P48" s="42">
        <f>SUM(L48:O48)</f>
        <v>800</v>
      </c>
      <c r="Q48" s="10"/>
      <c r="R48" s="44">
        <f>CHOOSE(MATCH($B$2,{"Base","Bull","Bear"},0),R45,R46,R47)</f>
        <v>700</v>
      </c>
      <c r="S48" s="44">
        <f>CHOOSE(MATCH($B$2,{"Base","Bull","Bear"},0),S45,S46,S47)</f>
        <v>700</v>
      </c>
      <c r="T48" s="44">
        <f>CHOOSE(MATCH($B$2,{"Base","Bull","Bear"},0),T45,T46,T47)</f>
        <v>700</v>
      </c>
      <c r="U48" s="44">
        <f>CHOOSE(MATCH($B$2,{"Base","Bull","Bear"},0),U45,U46,U47)</f>
        <v>700</v>
      </c>
      <c r="V48" s="45">
        <f>SUM(R48:U48)</f>
        <v>2800</v>
      </c>
      <c r="W48" s="44">
        <f>CHOOSE(MATCH($B$2,{"Base","Bull","Bear"},0),W45,W46,W47)</f>
        <v>1125</v>
      </c>
      <c r="X48" s="44">
        <f>CHOOSE(MATCH($B$2,{"Base","Bull","Bear"},0),X45,X46,X47)</f>
        <v>1125</v>
      </c>
      <c r="Y48" s="44">
        <f>CHOOSE(MATCH($B$2,{"Base","Bull","Bear"},0),Y45,Y46,Y47)</f>
        <v>1125</v>
      </c>
      <c r="Z48" s="44">
        <f>CHOOSE(MATCH($B$2,{"Base","Bull","Bear"},0),Z45,Z46,Z47)</f>
        <v>1125</v>
      </c>
      <c r="AA48" s="45">
        <f>SUM(W48:Z48)</f>
        <v>4500</v>
      </c>
      <c r="AB48" s="44">
        <f>CHOOSE(MATCH($B$2,{"Base","Bull","Bear"},0),AB45,AB46,AB47)</f>
        <v>1500</v>
      </c>
      <c r="AC48" s="44">
        <f>CHOOSE(MATCH($B$2,{"Base","Bull","Bear"},0),AC45,AC46,AC47)</f>
        <v>1500</v>
      </c>
      <c r="AD48" s="44">
        <f>CHOOSE(MATCH($B$2,{"Base","Bull","Bear"},0),AD45,AD46,AD47)</f>
        <v>1500</v>
      </c>
      <c r="AE48" s="44">
        <f>CHOOSE(MATCH($B$2,{"Base","Bull","Bear"},0),AE45,AE46,AE47)</f>
        <v>1500</v>
      </c>
      <c r="AF48" s="45">
        <f>SUM(AB48:AE48)</f>
        <v>6000</v>
      </c>
      <c r="AG48" s="10"/>
      <c r="AH48" s="10"/>
      <c r="AI48" s="20" t="s">
        <v>166</v>
      </c>
    </row>
    <row r="50" spans="1:35" ht="15" x14ac:dyDescent="0.35">
      <c r="A50" s="9" t="s">
        <v>167</v>
      </c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</row>
    <row r="51" spans="1:35" ht="26" x14ac:dyDescent="0.25">
      <c r="A51" s="7" t="s">
        <v>168</v>
      </c>
    </row>
    <row r="52" spans="1:35" ht="14.5" x14ac:dyDescent="0.3">
      <c r="A52" s="24" t="s">
        <v>149</v>
      </c>
      <c r="B52" s="36">
        <v>102.2</v>
      </c>
      <c r="C52" s="36">
        <v>102.2</v>
      </c>
      <c r="D52" s="36">
        <v>102.2</v>
      </c>
      <c r="E52" s="36">
        <v>102.2</v>
      </c>
      <c r="F52" s="37">
        <f>AVERAGE(B52:E52)</f>
        <v>102.2</v>
      </c>
      <c r="G52" s="36">
        <v>93.5</v>
      </c>
      <c r="H52" s="36">
        <v>93.5</v>
      </c>
      <c r="I52" s="36">
        <v>93.5</v>
      </c>
      <c r="J52" s="36">
        <v>93.5</v>
      </c>
      <c r="K52" s="37">
        <f>AVERAGE(G52:J52)</f>
        <v>93.5</v>
      </c>
      <c r="L52" s="36">
        <v>90.1</v>
      </c>
      <c r="M52" s="36">
        <v>90.1</v>
      </c>
      <c r="N52" s="36">
        <v>90.1</v>
      </c>
      <c r="O52" s="36">
        <v>90.1</v>
      </c>
      <c r="P52" s="37">
        <f>AVERAGE(L52:O52)</f>
        <v>90.1</v>
      </c>
      <c r="Q52" s="10"/>
      <c r="R52" s="38">
        <v>90</v>
      </c>
      <c r="S52" s="38">
        <v>90</v>
      </c>
      <c r="T52" s="38">
        <v>90</v>
      </c>
      <c r="U52" s="38">
        <v>90</v>
      </c>
      <c r="V52" s="37">
        <f>AVERAGE(R52:U52)</f>
        <v>90</v>
      </c>
      <c r="W52" s="38">
        <v>92</v>
      </c>
      <c r="X52" s="38">
        <v>92</v>
      </c>
      <c r="Y52" s="38">
        <v>92</v>
      </c>
      <c r="Z52" s="38">
        <v>92</v>
      </c>
      <c r="AA52" s="37">
        <f>AVERAGE(W52:Z52)</f>
        <v>92</v>
      </c>
      <c r="AB52" s="38">
        <v>95</v>
      </c>
      <c r="AC52" s="38">
        <v>95</v>
      </c>
      <c r="AD52" s="38">
        <v>95</v>
      </c>
      <c r="AE52" s="38">
        <v>95</v>
      </c>
      <c r="AF52" s="37">
        <f>AVERAGE(AB52:AE52)</f>
        <v>95</v>
      </c>
      <c r="AG52" s="10"/>
      <c r="AH52" s="10"/>
    </row>
    <row r="53" spans="1:35" ht="14.5" x14ac:dyDescent="0.3">
      <c r="A53" s="24" t="s">
        <v>150</v>
      </c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38">
        <v>98</v>
      </c>
      <c r="S53" s="38">
        <v>98</v>
      </c>
      <c r="T53" s="38">
        <v>98</v>
      </c>
      <c r="U53" s="38">
        <v>98</v>
      </c>
      <c r="V53" s="37">
        <f>AVERAGE(R53:U53)</f>
        <v>98</v>
      </c>
      <c r="W53" s="38">
        <v>105</v>
      </c>
      <c r="X53" s="38">
        <v>105</v>
      </c>
      <c r="Y53" s="38">
        <v>105</v>
      </c>
      <c r="Z53" s="38">
        <v>105</v>
      </c>
      <c r="AA53" s="37">
        <f>AVERAGE(W53:Z53)</f>
        <v>105</v>
      </c>
      <c r="AB53" s="38">
        <v>110</v>
      </c>
      <c r="AC53" s="38">
        <v>110</v>
      </c>
      <c r="AD53" s="38">
        <v>110</v>
      </c>
      <c r="AE53" s="38">
        <v>110</v>
      </c>
      <c r="AF53" s="37">
        <f>AVERAGE(AB53:AE53)</f>
        <v>110</v>
      </c>
      <c r="AG53" s="10"/>
      <c r="AH53" s="10"/>
    </row>
    <row r="54" spans="1:35" ht="14.5" x14ac:dyDescent="0.3">
      <c r="A54" s="24" t="s">
        <v>151</v>
      </c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38">
        <v>82</v>
      </c>
      <c r="S54" s="38">
        <v>82</v>
      </c>
      <c r="T54" s="38">
        <v>82</v>
      </c>
      <c r="U54" s="38">
        <v>82</v>
      </c>
      <c r="V54" s="37">
        <f>AVERAGE(R54:U54)</f>
        <v>82</v>
      </c>
      <c r="W54" s="38">
        <v>80</v>
      </c>
      <c r="X54" s="38">
        <v>80</v>
      </c>
      <c r="Y54" s="38">
        <v>80</v>
      </c>
      <c r="Z54" s="38">
        <v>80</v>
      </c>
      <c r="AA54" s="37">
        <f>AVERAGE(W54:Z54)</f>
        <v>80</v>
      </c>
      <c r="AB54" s="38">
        <v>78</v>
      </c>
      <c r="AC54" s="38">
        <v>78</v>
      </c>
      <c r="AD54" s="38">
        <v>78</v>
      </c>
      <c r="AE54" s="38">
        <v>78</v>
      </c>
      <c r="AF54" s="37">
        <f>AVERAGE(AB54:AE54)</f>
        <v>78</v>
      </c>
      <c r="AG54" s="10"/>
      <c r="AH54" s="10"/>
    </row>
    <row r="55" spans="1:35" ht="24" x14ac:dyDescent="0.3">
      <c r="A55" s="28" t="s">
        <v>152</v>
      </c>
      <c r="B55" s="36">
        <v>102.2</v>
      </c>
      <c r="C55" s="36">
        <v>102.2</v>
      </c>
      <c r="D55" s="36">
        <v>102.2</v>
      </c>
      <c r="E55" s="36">
        <v>102.2</v>
      </c>
      <c r="F55" s="37">
        <f>AVERAGE(B55:E55)</f>
        <v>102.2</v>
      </c>
      <c r="G55" s="36">
        <v>93.5</v>
      </c>
      <c r="H55" s="36">
        <v>93.5</v>
      </c>
      <c r="I55" s="36">
        <v>93.5</v>
      </c>
      <c r="J55" s="36">
        <v>93.5</v>
      </c>
      <c r="K55" s="37">
        <f>AVERAGE(G55:J55)</f>
        <v>93.5</v>
      </c>
      <c r="L55" s="36">
        <v>90.1</v>
      </c>
      <c r="M55" s="36">
        <v>90.1</v>
      </c>
      <c r="N55" s="36">
        <v>90.1</v>
      </c>
      <c r="O55" s="36">
        <v>90.1</v>
      </c>
      <c r="P55" s="37">
        <f>AVERAGE(L55:O55)</f>
        <v>90.1</v>
      </c>
      <c r="Q55" s="10"/>
      <c r="R55" s="39">
        <f>CHOOSE(MATCH($B$2,{"Base","Bull","Bear"},0),R52,R53,R54)</f>
        <v>90</v>
      </c>
      <c r="S55" s="39">
        <f>CHOOSE(MATCH($B$2,{"Base","Bull","Bear"},0),S52,S53,S54)</f>
        <v>90</v>
      </c>
      <c r="T55" s="39">
        <f>CHOOSE(MATCH($B$2,{"Base","Bull","Bear"},0),T52,T53,T54)</f>
        <v>90</v>
      </c>
      <c r="U55" s="39">
        <f>CHOOSE(MATCH($B$2,{"Base","Bull","Bear"},0),U52,U53,U54)</f>
        <v>90</v>
      </c>
      <c r="V55" s="40">
        <f>AVERAGE(R55:U55)</f>
        <v>90</v>
      </c>
      <c r="W55" s="39">
        <f>CHOOSE(MATCH($B$2,{"Base","Bull","Bear"},0),W52,W53,W54)</f>
        <v>92</v>
      </c>
      <c r="X55" s="39">
        <f>CHOOSE(MATCH($B$2,{"Base","Bull","Bear"},0),X52,X53,X54)</f>
        <v>92</v>
      </c>
      <c r="Y55" s="39">
        <f>CHOOSE(MATCH($B$2,{"Base","Bull","Bear"},0),Y52,Y53,Y54)</f>
        <v>92</v>
      </c>
      <c r="Z55" s="39">
        <f>CHOOSE(MATCH($B$2,{"Base","Bull","Bear"},0),Z52,Z53,Z54)</f>
        <v>92</v>
      </c>
      <c r="AA55" s="40">
        <f>AVERAGE(W55:Z55)</f>
        <v>92</v>
      </c>
      <c r="AB55" s="39">
        <f>CHOOSE(MATCH($B$2,{"Base","Bull","Bear"},0),AB52,AB53,AB54)</f>
        <v>95</v>
      </c>
      <c r="AC55" s="39">
        <f>CHOOSE(MATCH($B$2,{"Base","Bull","Bear"},0),AC52,AC53,AC54)</f>
        <v>95</v>
      </c>
      <c r="AD55" s="39">
        <f>CHOOSE(MATCH($B$2,{"Base","Bull","Bear"},0),AD52,AD53,AD54)</f>
        <v>95</v>
      </c>
      <c r="AE55" s="39">
        <f>CHOOSE(MATCH($B$2,{"Base","Bull","Bear"},0),AE52,AE53,AE54)</f>
        <v>95</v>
      </c>
      <c r="AF55" s="40">
        <f>AVERAGE(AB55:AE55)</f>
        <v>95</v>
      </c>
      <c r="AG55" s="10"/>
      <c r="AH55" s="10"/>
      <c r="AI55" s="20" t="s">
        <v>169</v>
      </c>
    </row>
    <row r="57" spans="1:35" ht="26" x14ac:dyDescent="0.25">
      <c r="A57" s="7" t="s">
        <v>170</v>
      </c>
    </row>
    <row r="58" spans="1:35" ht="14.5" x14ac:dyDescent="0.3">
      <c r="A58" s="24" t="s">
        <v>149</v>
      </c>
      <c r="B58" s="41">
        <v>12.5</v>
      </c>
      <c r="C58" s="41">
        <v>12.5</v>
      </c>
      <c r="D58" s="41">
        <v>12.5</v>
      </c>
      <c r="E58" s="41">
        <v>12.5</v>
      </c>
      <c r="F58" s="42">
        <f>SUM(B58:E58)</f>
        <v>50</v>
      </c>
      <c r="G58" s="41">
        <v>15</v>
      </c>
      <c r="H58" s="41">
        <v>15</v>
      </c>
      <c r="I58" s="41">
        <v>15</v>
      </c>
      <c r="J58" s="41">
        <v>15</v>
      </c>
      <c r="K58" s="42">
        <f>SUM(G58:J58)</f>
        <v>60</v>
      </c>
      <c r="L58" s="41">
        <v>37.5</v>
      </c>
      <c r="M58" s="41">
        <v>37.5</v>
      </c>
      <c r="N58" s="41">
        <v>37.5</v>
      </c>
      <c r="O58" s="41">
        <v>37.5</v>
      </c>
      <c r="P58" s="42">
        <f>SUM(L58:O58)</f>
        <v>150</v>
      </c>
      <c r="Q58" s="10"/>
      <c r="R58" s="43">
        <v>175</v>
      </c>
      <c r="S58" s="43">
        <v>175</v>
      </c>
      <c r="T58" s="43">
        <v>175</v>
      </c>
      <c r="U58" s="43">
        <v>175</v>
      </c>
      <c r="V58" s="42">
        <f>SUM(R58:U58)</f>
        <v>700</v>
      </c>
      <c r="W58" s="43">
        <v>375</v>
      </c>
      <c r="X58" s="43">
        <v>375</v>
      </c>
      <c r="Y58" s="43">
        <v>375</v>
      </c>
      <c r="Z58" s="43">
        <v>375</v>
      </c>
      <c r="AA58" s="42">
        <f>SUM(W58:Z58)</f>
        <v>1500</v>
      </c>
      <c r="AB58" s="43">
        <v>625</v>
      </c>
      <c r="AC58" s="43">
        <v>625</v>
      </c>
      <c r="AD58" s="43">
        <v>625</v>
      </c>
      <c r="AE58" s="43">
        <v>625</v>
      </c>
      <c r="AF58" s="42">
        <f>SUM(AB58:AE58)</f>
        <v>2500</v>
      </c>
      <c r="AG58" s="10"/>
      <c r="AH58" s="10"/>
    </row>
    <row r="59" spans="1:35" ht="14.5" x14ac:dyDescent="0.3">
      <c r="A59" s="24" t="s">
        <v>150</v>
      </c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43">
        <v>250</v>
      </c>
      <c r="S59" s="43">
        <v>250</v>
      </c>
      <c r="T59" s="43">
        <v>250</v>
      </c>
      <c r="U59" s="43">
        <v>250</v>
      </c>
      <c r="V59" s="42">
        <f>SUM(R59:U59)</f>
        <v>1000</v>
      </c>
      <c r="W59" s="43">
        <v>750</v>
      </c>
      <c r="X59" s="43">
        <v>750</v>
      </c>
      <c r="Y59" s="43">
        <v>750</v>
      </c>
      <c r="Z59" s="43">
        <v>750</v>
      </c>
      <c r="AA59" s="42">
        <f>SUM(W59:Z59)</f>
        <v>3000</v>
      </c>
      <c r="AB59" s="43">
        <v>1250</v>
      </c>
      <c r="AC59" s="43">
        <v>1250</v>
      </c>
      <c r="AD59" s="43">
        <v>1250</v>
      </c>
      <c r="AE59" s="43">
        <v>1250</v>
      </c>
      <c r="AF59" s="42">
        <f>SUM(AB59:AE59)</f>
        <v>5000</v>
      </c>
      <c r="AG59" s="10"/>
      <c r="AH59" s="10"/>
    </row>
    <row r="60" spans="1:35" ht="14.5" x14ac:dyDescent="0.3">
      <c r="A60" s="24" t="s">
        <v>151</v>
      </c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43">
        <v>100</v>
      </c>
      <c r="S60" s="43">
        <v>100</v>
      </c>
      <c r="T60" s="43">
        <v>100</v>
      </c>
      <c r="U60" s="43">
        <v>100</v>
      </c>
      <c r="V60" s="42">
        <f>SUM(R60:U60)</f>
        <v>400</v>
      </c>
      <c r="W60" s="43">
        <v>200</v>
      </c>
      <c r="X60" s="43">
        <v>200</v>
      </c>
      <c r="Y60" s="43">
        <v>200</v>
      </c>
      <c r="Z60" s="43">
        <v>200</v>
      </c>
      <c r="AA60" s="42">
        <f>SUM(W60:Z60)</f>
        <v>800</v>
      </c>
      <c r="AB60" s="43">
        <v>300</v>
      </c>
      <c r="AC60" s="43">
        <v>300</v>
      </c>
      <c r="AD60" s="43">
        <v>300</v>
      </c>
      <c r="AE60" s="43">
        <v>300</v>
      </c>
      <c r="AF60" s="42">
        <f>SUM(AB60:AE60)</f>
        <v>1200</v>
      </c>
      <c r="AG60" s="10"/>
      <c r="AH60" s="10"/>
    </row>
    <row r="61" spans="1:35" ht="24" x14ac:dyDescent="0.3">
      <c r="A61" s="28" t="s">
        <v>152</v>
      </c>
      <c r="B61" s="41">
        <v>12.5</v>
      </c>
      <c r="C61" s="41">
        <v>12.5</v>
      </c>
      <c r="D61" s="41">
        <v>12.5</v>
      </c>
      <c r="E61" s="41">
        <v>12.5</v>
      </c>
      <c r="F61" s="42">
        <f>SUM(B61:E61)</f>
        <v>50</v>
      </c>
      <c r="G61" s="41">
        <v>15</v>
      </c>
      <c r="H61" s="41">
        <v>15</v>
      </c>
      <c r="I61" s="41">
        <v>15</v>
      </c>
      <c r="J61" s="41">
        <v>15</v>
      </c>
      <c r="K61" s="42">
        <f>SUM(G61:J61)</f>
        <v>60</v>
      </c>
      <c r="L61" s="41">
        <v>37.5</v>
      </c>
      <c r="M61" s="41">
        <v>37.5</v>
      </c>
      <c r="N61" s="41">
        <v>37.5</v>
      </c>
      <c r="O61" s="41">
        <v>37.5</v>
      </c>
      <c r="P61" s="42">
        <f>SUM(L61:O61)</f>
        <v>150</v>
      </c>
      <c r="Q61" s="10"/>
      <c r="R61" s="44">
        <f>CHOOSE(MATCH($B$2,{"Base","Bull","Bear"},0),R58,R59,R60)</f>
        <v>175</v>
      </c>
      <c r="S61" s="44">
        <f>CHOOSE(MATCH($B$2,{"Base","Bull","Bear"},0),S58,S59,S60)</f>
        <v>175</v>
      </c>
      <c r="T61" s="44">
        <f>CHOOSE(MATCH($B$2,{"Base","Bull","Bear"},0),T58,T59,T60)</f>
        <v>175</v>
      </c>
      <c r="U61" s="44">
        <f>CHOOSE(MATCH($B$2,{"Base","Bull","Bear"},0),U58,U59,U60)</f>
        <v>175</v>
      </c>
      <c r="V61" s="45">
        <f>SUM(R61:U61)</f>
        <v>700</v>
      </c>
      <c r="W61" s="44">
        <f>CHOOSE(MATCH($B$2,{"Base","Bull","Bear"},0),W58,W59,W60)</f>
        <v>375</v>
      </c>
      <c r="X61" s="44">
        <f>CHOOSE(MATCH($B$2,{"Base","Bull","Bear"},0),X58,X59,X60)</f>
        <v>375</v>
      </c>
      <c r="Y61" s="44">
        <f>CHOOSE(MATCH($B$2,{"Base","Bull","Bear"},0),Y58,Y59,Y60)</f>
        <v>375</v>
      </c>
      <c r="Z61" s="44">
        <f>CHOOSE(MATCH($B$2,{"Base","Bull","Bear"},0),Z58,Z59,Z60)</f>
        <v>375</v>
      </c>
      <c r="AA61" s="45">
        <f>SUM(W61:Z61)</f>
        <v>1500</v>
      </c>
      <c r="AB61" s="44">
        <f>CHOOSE(MATCH($B$2,{"Base","Bull","Bear"},0),AB58,AB59,AB60)</f>
        <v>625</v>
      </c>
      <c r="AC61" s="44">
        <f>CHOOSE(MATCH($B$2,{"Base","Bull","Bear"},0),AC58,AC59,AC60)</f>
        <v>625</v>
      </c>
      <c r="AD61" s="44">
        <f>CHOOSE(MATCH($B$2,{"Base","Bull","Bear"},0),AD58,AD59,AD60)</f>
        <v>625</v>
      </c>
      <c r="AE61" s="44">
        <f>CHOOSE(MATCH($B$2,{"Base","Bull","Bear"},0),AE58,AE59,AE60)</f>
        <v>625</v>
      </c>
      <c r="AF61" s="45">
        <f>SUM(AB61:AE61)</f>
        <v>2500</v>
      </c>
      <c r="AG61" s="10"/>
      <c r="AH61" s="10"/>
      <c r="AI61" s="20" t="s">
        <v>171</v>
      </c>
    </row>
    <row r="63" spans="1:35" ht="15" x14ac:dyDescent="0.35">
      <c r="A63" s="9" t="s">
        <v>172</v>
      </c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</row>
    <row r="64" spans="1:35" ht="26" x14ac:dyDescent="0.25">
      <c r="A64" s="7" t="s">
        <v>173</v>
      </c>
    </row>
    <row r="65" spans="1:35" ht="14.5" x14ac:dyDescent="0.3">
      <c r="A65" s="24" t="s">
        <v>149</v>
      </c>
      <c r="B65" s="25">
        <v>22.25</v>
      </c>
      <c r="C65" s="25">
        <v>22.25</v>
      </c>
      <c r="D65" s="25">
        <v>22.25</v>
      </c>
      <c r="E65" s="25">
        <v>22.25</v>
      </c>
      <c r="F65" s="26">
        <f>SUM(B65:E65)</f>
        <v>89</v>
      </c>
      <c r="G65" s="25">
        <v>22</v>
      </c>
      <c r="H65" s="25">
        <v>22</v>
      </c>
      <c r="I65" s="25">
        <v>22</v>
      </c>
      <c r="J65" s="25">
        <v>22</v>
      </c>
      <c r="K65" s="26">
        <f>SUM(G65:J65)</f>
        <v>88</v>
      </c>
      <c r="L65" s="25">
        <v>21.75</v>
      </c>
      <c r="M65" s="25">
        <v>21.75</v>
      </c>
      <c r="N65" s="25">
        <v>21.75</v>
      </c>
      <c r="O65" s="25">
        <v>21.75</v>
      </c>
      <c r="P65" s="26">
        <f>SUM(L65:O65)</f>
        <v>87</v>
      </c>
      <c r="Q65" s="10"/>
      <c r="R65" s="27">
        <v>22</v>
      </c>
      <c r="S65" s="27">
        <v>22</v>
      </c>
      <c r="T65" s="27">
        <v>22</v>
      </c>
      <c r="U65" s="27">
        <v>22</v>
      </c>
      <c r="V65" s="26">
        <f>SUM(R65:U65)</f>
        <v>88</v>
      </c>
      <c r="W65" s="27">
        <v>22.25</v>
      </c>
      <c r="X65" s="27">
        <v>22.25</v>
      </c>
      <c r="Y65" s="27">
        <v>22.25</v>
      </c>
      <c r="Z65" s="27">
        <v>22.25</v>
      </c>
      <c r="AA65" s="26">
        <f>SUM(W65:Z65)</f>
        <v>89</v>
      </c>
      <c r="AB65" s="27">
        <v>22.5</v>
      </c>
      <c r="AC65" s="27">
        <v>22.5</v>
      </c>
      <c r="AD65" s="27">
        <v>22.5</v>
      </c>
      <c r="AE65" s="27">
        <v>22.5</v>
      </c>
      <c r="AF65" s="26">
        <f>SUM(AB65:AE65)</f>
        <v>90</v>
      </c>
      <c r="AG65" s="10"/>
      <c r="AH65" s="10"/>
    </row>
    <row r="66" spans="1:35" ht="14.5" x14ac:dyDescent="0.3">
      <c r="A66" s="24" t="s">
        <v>150</v>
      </c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27">
        <v>22.5</v>
      </c>
      <c r="S66" s="27">
        <v>22.5</v>
      </c>
      <c r="T66" s="27">
        <v>22.5</v>
      </c>
      <c r="U66" s="27">
        <v>22.5</v>
      </c>
      <c r="V66" s="26">
        <f>SUM(R66:U66)</f>
        <v>90</v>
      </c>
      <c r="W66" s="27">
        <v>23</v>
      </c>
      <c r="X66" s="27">
        <v>23</v>
      </c>
      <c r="Y66" s="27">
        <v>23</v>
      </c>
      <c r="Z66" s="27">
        <v>23</v>
      </c>
      <c r="AA66" s="26">
        <f>SUM(W66:Z66)</f>
        <v>92</v>
      </c>
      <c r="AB66" s="27">
        <v>23.5</v>
      </c>
      <c r="AC66" s="27">
        <v>23.5</v>
      </c>
      <c r="AD66" s="27">
        <v>23.5</v>
      </c>
      <c r="AE66" s="27">
        <v>23.5</v>
      </c>
      <c r="AF66" s="26">
        <f>SUM(AB66:AE66)</f>
        <v>94</v>
      </c>
      <c r="AG66" s="10"/>
      <c r="AH66" s="10"/>
    </row>
    <row r="67" spans="1:35" ht="14.5" x14ac:dyDescent="0.3">
      <c r="A67" s="24" t="s">
        <v>151</v>
      </c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27">
        <v>21.25</v>
      </c>
      <c r="S67" s="27">
        <v>21.25</v>
      </c>
      <c r="T67" s="27">
        <v>21.25</v>
      </c>
      <c r="U67" s="27">
        <v>21.25</v>
      </c>
      <c r="V67" s="26">
        <f>SUM(R67:U67)</f>
        <v>85</v>
      </c>
      <c r="W67" s="27">
        <v>21.5</v>
      </c>
      <c r="X67" s="27">
        <v>21.5</v>
      </c>
      <c r="Y67" s="27">
        <v>21.5</v>
      </c>
      <c r="Z67" s="27">
        <v>21.5</v>
      </c>
      <c r="AA67" s="26">
        <f>SUM(W67:Z67)</f>
        <v>86</v>
      </c>
      <c r="AB67" s="27">
        <v>21.75</v>
      </c>
      <c r="AC67" s="27">
        <v>21.75</v>
      </c>
      <c r="AD67" s="27">
        <v>21.75</v>
      </c>
      <c r="AE67" s="27">
        <v>21.75</v>
      </c>
      <c r="AF67" s="26">
        <f>SUM(AB67:AE67)</f>
        <v>87</v>
      </c>
      <c r="AG67" s="10"/>
      <c r="AH67" s="10"/>
    </row>
    <row r="68" spans="1:35" ht="14.5" x14ac:dyDescent="0.3">
      <c r="A68" s="28" t="s">
        <v>152</v>
      </c>
      <c r="B68" s="25">
        <v>22.25</v>
      </c>
      <c r="C68" s="25">
        <v>22.25</v>
      </c>
      <c r="D68" s="25">
        <v>22.25</v>
      </c>
      <c r="E68" s="25">
        <v>22.25</v>
      </c>
      <c r="F68" s="26">
        <f>SUM(B68:E68)</f>
        <v>89</v>
      </c>
      <c r="G68" s="25">
        <v>22</v>
      </c>
      <c r="H68" s="25">
        <v>22</v>
      </c>
      <c r="I68" s="25">
        <v>22</v>
      </c>
      <c r="J68" s="25">
        <v>22</v>
      </c>
      <c r="K68" s="26">
        <f>SUM(G68:J68)</f>
        <v>88</v>
      </c>
      <c r="L68" s="25">
        <v>21.75</v>
      </c>
      <c r="M68" s="25">
        <v>21.75</v>
      </c>
      <c r="N68" s="25">
        <v>21.75</v>
      </c>
      <c r="O68" s="25">
        <v>21.75</v>
      </c>
      <c r="P68" s="26">
        <f>SUM(L68:O68)</f>
        <v>87</v>
      </c>
      <c r="Q68" s="10"/>
      <c r="R68" s="29">
        <f>CHOOSE(MATCH($B$2,{"Base","Bull","Bear"},0),R65,R66,R67)</f>
        <v>22</v>
      </c>
      <c r="S68" s="29">
        <f>CHOOSE(MATCH($B$2,{"Base","Bull","Bear"},0),S65,S66,S67)</f>
        <v>22</v>
      </c>
      <c r="T68" s="29">
        <f>CHOOSE(MATCH($B$2,{"Base","Bull","Bear"},0),T65,T66,T67)</f>
        <v>22</v>
      </c>
      <c r="U68" s="29">
        <f>CHOOSE(MATCH($B$2,{"Base","Bull","Bear"},0),U65,U66,U67)</f>
        <v>22</v>
      </c>
      <c r="V68" s="30">
        <f>SUM(R68:U68)</f>
        <v>88</v>
      </c>
      <c r="W68" s="29">
        <f>CHOOSE(MATCH($B$2,{"Base","Bull","Bear"},0),W65,W66,W67)</f>
        <v>22.25</v>
      </c>
      <c r="X68" s="29">
        <f>CHOOSE(MATCH($B$2,{"Base","Bull","Bear"},0),X65,X66,X67)</f>
        <v>22.25</v>
      </c>
      <c r="Y68" s="29">
        <f>CHOOSE(MATCH($B$2,{"Base","Bull","Bear"},0),Y65,Y66,Y67)</f>
        <v>22.25</v>
      </c>
      <c r="Z68" s="29">
        <f>CHOOSE(MATCH($B$2,{"Base","Bull","Bear"},0),Z65,Z66,Z67)</f>
        <v>22.25</v>
      </c>
      <c r="AA68" s="30">
        <f>SUM(W68:Z68)</f>
        <v>89</v>
      </c>
      <c r="AB68" s="29">
        <f>CHOOSE(MATCH($B$2,{"Base","Bull","Bear"},0),AB65,AB66,AB67)</f>
        <v>22.5</v>
      </c>
      <c r="AC68" s="29">
        <f>CHOOSE(MATCH($B$2,{"Base","Bull","Bear"},0),AC65,AC66,AC67)</f>
        <v>22.5</v>
      </c>
      <c r="AD68" s="29">
        <f>CHOOSE(MATCH($B$2,{"Base","Bull","Bear"},0),AD65,AD66,AD67)</f>
        <v>22.5</v>
      </c>
      <c r="AE68" s="29">
        <f>CHOOSE(MATCH($B$2,{"Base","Bull","Bear"},0),AE65,AE66,AE67)</f>
        <v>22.5</v>
      </c>
      <c r="AF68" s="30">
        <f>SUM(AB68:AE68)</f>
        <v>90</v>
      </c>
      <c r="AG68" s="10"/>
      <c r="AH68" s="10"/>
      <c r="AI68" s="20" t="s">
        <v>174</v>
      </c>
    </row>
    <row r="70" spans="1:35" ht="26" x14ac:dyDescent="0.25">
      <c r="A70" s="7" t="s">
        <v>175</v>
      </c>
    </row>
    <row r="71" spans="1:35" ht="14.5" x14ac:dyDescent="0.3">
      <c r="A71" s="24" t="s">
        <v>149</v>
      </c>
      <c r="B71" s="36">
        <v>23.4</v>
      </c>
      <c r="C71" s="36">
        <v>23.4</v>
      </c>
      <c r="D71" s="36">
        <v>23.4</v>
      </c>
      <c r="E71" s="36">
        <v>23.4</v>
      </c>
      <c r="F71" s="37">
        <f>AVERAGE(B71:E71)</f>
        <v>23.4</v>
      </c>
      <c r="G71" s="36">
        <v>18.899999999999999</v>
      </c>
      <c r="H71" s="36">
        <v>18.899999999999999</v>
      </c>
      <c r="I71" s="36">
        <v>18.899999999999999</v>
      </c>
      <c r="J71" s="36">
        <v>18.899999999999999</v>
      </c>
      <c r="K71" s="37">
        <f>AVERAGE(G71:J71)</f>
        <v>18.899999999999999</v>
      </c>
      <c r="L71" s="36">
        <v>21.8</v>
      </c>
      <c r="M71" s="36">
        <v>21.8</v>
      </c>
      <c r="N71" s="36">
        <v>21.8</v>
      </c>
      <c r="O71" s="36">
        <v>21.8</v>
      </c>
      <c r="P71" s="37">
        <f>AVERAGE(L71:O71)</f>
        <v>21.8</v>
      </c>
      <c r="Q71" s="10"/>
      <c r="R71" s="38">
        <v>19</v>
      </c>
      <c r="S71" s="38">
        <v>19</v>
      </c>
      <c r="T71" s="38">
        <v>19</v>
      </c>
      <c r="U71" s="38">
        <v>19</v>
      </c>
      <c r="V71" s="37">
        <f>AVERAGE(R71:U71)</f>
        <v>19</v>
      </c>
      <c r="W71" s="38">
        <v>20</v>
      </c>
      <c r="X71" s="38">
        <v>20</v>
      </c>
      <c r="Y71" s="38">
        <v>20</v>
      </c>
      <c r="Z71" s="38">
        <v>20</v>
      </c>
      <c r="AA71" s="37">
        <f>AVERAGE(W71:Z71)</f>
        <v>20</v>
      </c>
      <c r="AB71" s="38">
        <v>21</v>
      </c>
      <c r="AC71" s="38">
        <v>21</v>
      </c>
      <c r="AD71" s="38">
        <v>21</v>
      </c>
      <c r="AE71" s="38">
        <v>21</v>
      </c>
      <c r="AF71" s="37">
        <f>AVERAGE(AB71:AE71)</f>
        <v>21</v>
      </c>
      <c r="AG71" s="10"/>
      <c r="AH71" s="10"/>
    </row>
    <row r="72" spans="1:35" ht="14.5" x14ac:dyDescent="0.3">
      <c r="A72" s="24" t="s">
        <v>150</v>
      </c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38">
        <v>21</v>
      </c>
      <c r="S72" s="38">
        <v>21</v>
      </c>
      <c r="T72" s="38">
        <v>21</v>
      </c>
      <c r="U72" s="38">
        <v>21</v>
      </c>
      <c r="V72" s="37">
        <f>AVERAGE(R72:U72)</f>
        <v>21</v>
      </c>
      <c r="W72" s="38">
        <v>23</v>
      </c>
      <c r="X72" s="38">
        <v>23</v>
      </c>
      <c r="Y72" s="38">
        <v>23</v>
      </c>
      <c r="Z72" s="38">
        <v>23</v>
      </c>
      <c r="AA72" s="37">
        <f>AVERAGE(W72:Z72)</f>
        <v>23</v>
      </c>
      <c r="AB72" s="38">
        <v>25</v>
      </c>
      <c r="AC72" s="38">
        <v>25</v>
      </c>
      <c r="AD72" s="38">
        <v>25</v>
      </c>
      <c r="AE72" s="38">
        <v>25</v>
      </c>
      <c r="AF72" s="37">
        <f>AVERAGE(AB72:AE72)</f>
        <v>25</v>
      </c>
      <c r="AG72" s="10"/>
      <c r="AH72" s="10"/>
    </row>
    <row r="73" spans="1:35" ht="14.5" x14ac:dyDescent="0.3">
      <c r="A73" s="24" t="s">
        <v>151</v>
      </c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38">
        <v>17</v>
      </c>
      <c r="S73" s="38">
        <v>17</v>
      </c>
      <c r="T73" s="38">
        <v>17</v>
      </c>
      <c r="U73" s="38">
        <v>17</v>
      </c>
      <c r="V73" s="37">
        <f>AVERAGE(R73:U73)</f>
        <v>17</v>
      </c>
      <c r="W73" s="38">
        <v>17.5</v>
      </c>
      <c r="X73" s="38">
        <v>17.5</v>
      </c>
      <c r="Y73" s="38">
        <v>17.5</v>
      </c>
      <c r="Z73" s="38">
        <v>17.5</v>
      </c>
      <c r="AA73" s="37">
        <f>AVERAGE(W73:Z73)</f>
        <v>17.5</v>
      </c>
      <c r="AB73" s="38">
        <v>18</v>
      </c>
      <c r="AC73" s="38">
        <v>18</v>
      </c>
      <c r="AD73" s="38">
        <v>18</v>
      </c>
      <c r="AE73" s="38">
        <v>18</v>
      </c>
      <c r="AF73" s="37">
        <f>AVERAGE(AB73:AE73)</f>
        <v>18</v>
      </c>
      <c r="AG73" s="10"/>
      <c r="AH73" s="10"/>
    </row>
    <row r="74" spans="1:35" ht="24" x14ac:dyDescent="0.3">
      <c r="A74" s="28" t="s">
        <v>152</v>
      </c>
      <c r="B74" s="36">
        <v>23.4</v>
      </c>
      <c r="C74" s="36">
        <v>23.4</v>
      </c>
      <c r="D74" s="36">
        <v>23.4</v>
      </c>
      <c r="E74" s="36">
        <v>23.4</v>
      </c>
      <c r="F74" s="37">
        <f>AVERAGE(B74:E74)</f>
        <v>23.4</v>
      </c>
      <c r="G74" s="36">
        <v>18.899999999999999</v>
      </c>
      <c r="H74" s="36">
        <v>18.899999999999999</v>
      </c>
      <c r="I74" s="36">
        <v>18.899999999999999</v>
      </c>
      <c r="J74" s="36">
        <v>18.899999999999999</v>
      </c>
      <c r="K74" s="37">
        <f>AVERAGE(G74:J74)</f>
        <v>18.899999999999999</v>
      </c>
      <c r="L74" s="36">
        <v>21.8</v>
      </c>
      <c r="M74" s="36">
        <v>21.8</v>
      </c>
      <c r="N74" s="36">
        <v>21.8</v>
      </c>
      <c r="O74" s="36">
        <v>21.8</v>
      </c>
      <c r="P74" s="37">
        <f>AVERAGE(L74:O74)</f>
        <v>21.8</v>
      </c>
      <c r="Q74" s="10"/>
      <c r="R74" s="39">
        <f>CHOOSE(MATCH($B$2,{"Base","Bull","Bear"},0),R71,R72,R73)</f>
        <v>19</v>
      </c>
      <c r="S74" s="39">
        <f>CHOOSE(MATCH($B$2,{"Base","Bull","Bear"},0),S71,S72,S73)</f>
        <v>19</v>
      </c>
      <c r="T74" s="39">
        <f>CHOOSE(MATCH($B$2,{"Base","Bull","Bear"},0),T71,T72,T73)</f>
        <v>19</v>
      </c>
      <c r="U74" s="39">
        <f>CHOOSE(MATCH($B$2,{"Base","Bull","Bear"},0),U71,U72,U73)</f>
        <v>19</v>
      </c>
      <c r="V74" s="40">
        <f>AVERAGE(R74:U74)</f>
        <v>19</v>
      </c>
      <c r="W74" s="39">
        <f>CHOOSE(MATCH($B$2,{"Base","Bull","Bear"},0),W71,W72,W73)</f>
        <v>20</v>
      </c>
      <c r="X74" s="39">
        <f>CHOOSE(MATCH($B$2,{"Base","Bull","Bear"},0),X71,X72,X73)</f>
        <v>20</v>
      </c>
      <c r="Y74" s="39">
        <f>CHOOSE(MATCH($B$2,{"Base","Bull","Bear"},0),Y71,Y72,Y73)</f>
        <v>20</v>
      </c>
      <c r="Z74" s="39">
        <f>CHOOSE(MATCH($B$2,{"Base","Bull","Bear"},0),Z71,Z72,Z73)</f>
        <v>20</v>
      </c>
      <c r="AA74" s="40">
        <f>AVERAGE(W74:Z74)</f>
        <v>20</v>
      </c>
      <c r="AB74" s="39">
        <f>CHOOSE(MATCH($B$2,{"Base","Bull","Bear"},0),AB71,AB72,AB73)</f>
        <v>21</v>
      </c>
      <c r="AC74" s="39">
        <f>CHOOSE(MATCH($B$2,{"Base","Bull","Bear"},0),AC71,AC72,AC73)</f>
        <v>21</v>
      </c>
      <c r="AD74" s="39">
        <f>CHOOSE(MATCH($B$2,{"Base","Bull","Bear"},0),AD71,AD72,AD73)</f>
        <v>21</v>
      </c>
      <c r="AE74" s="39">
        <f>CHOOSE(MATCH($B$2,{"Base","Bull","Bear"},0),AE71,AE72,AE73)</f>
        <v>21</v>
      </c>
      <c r="AF74" s="40">
        <f>AVERAGE(AB74:AE74)</f>
        <v>21</v>
      </c>
      <c r="AG74" s="10"/>
      <c r="AH74" s="10"/>
      <c r="AI74" s="20" t="s">
        <v>176</v>
      </c>
    </row>
    <row r="76" spans="1:35" ht="26" x14ac:dyDescent="0.25">
      <c r="A76" s="7" t="s">
        <v>177</v>
      </c>
    </row>
    <row r="77" spans="1:35" ht="14.5" x14ac:dyDescent="0.3">
      <c r="A77" s="24" t="s">
        <v>149</v>
      </c>
      <c r="B77" s="41">
        <v>844.5</v>
      </c>
      <c r="C77" s="41">
        <v>844.5</v>
      </c>
      <c r="D77" s="41">
        <v>844.5</v>
      </c>
      <c r="E77" s="41">
        <v>844.5</v>
      </c>
      <c r="F77" s="42">
        <f>SUM(B77:E77)</f>
        <v>3378</v>
      </c>
      <c r="G77" s="41">
        <v>485.25</v>
      </c>
      <c r="H77" s="41">
        <v>485.25</v>
      </c>
      <c r="I77" s="41">
        <v>485.25</v>
      </c>
      <c r="J77" s="41">
        <v>485.25</v>
      </c>
      <c r="K77" s="42">
        <f>SUM(G77:J77)</f>
        <v>1941</v>
      </c>
      <c r="L77" s="41">
        <v>415.75</v>
      </c>
      <c r="M77" s="41">
        <v>415.75</v>
      </c>
      <c r="N77" s="41">
        <v>415.75</v>
      </c>
      <c r="O77" s="41">
        <v>415.75</v>
      </c>
      <c r="P77" s="42">
        <f>SUM(L77:O77)</f>
        <v>1663</v>
      </c>
      <c r="Q77" s="10"/>
      <c r="R77" s="43">
        <v>450</v>
      </c>
      <c r="S77" s="43">
        <v>450</v>
      </c>
      <c r="T77" s="43">
        <v>450</v>
      </c>
      <c r="U77" s="43">
        <v>450</v>
      </c>
      <c r="V77" s="42">
        <f>SUM(R77:U77)</f>
        <v>1800</v>
      </c>
      <c r="W77" s="43">
        <v>500</v>
      </c>
      <c r="X77" s="43">
        <v>500</v>
      </c>
      <c r="Y77" s="43">
        <v>500</v>
      </c>
      <c r="Z77" s="43">
        <v>500</v>
      </c>
      <c r="AA77" s="42">
        <f>SUM(W77:Z77)</f>
        <v>2000</v>
      </c>
      <c r="AB77" s="43">
        <v>550</v>
      </c>
      <c r="AC77" s="43">
        <v>550</v>
      </c>
      <c r="AD77" s="43">
        <v>550</v>
      </c>
      <c r="AE77" s="43">
        <v>550</v>
      </c>
      <c r="AF77" s="42">
        <f>SUM(AB77:AE77)</f>
        <v>2200</v>
      </c>
      <c r="AG77" s="10"/>
      <c r="AH77" s="10"/>
    </row>
    <row r="78" spans="1:35" ht="14.5" x14ac:dyDescent="0.3">
      <c r="A78" s="24" t="s">
        <v>150</v>
      </c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43">
        <v>550</v>
      </c>
      <c r="S78" s="43">
        <v>550</v>
      </c>
      <c r="T78" s="43">
        <v>550</v>
      </c>
      <c r="U78" s="43">
        <v>550</v>
      </c>
      <c r="V78" s="42">
        <f>SUM(R78:U78)</f>
        <v>2200</v>
      </c>
      <c r="W78" s="43">
        <v>650</v>
      </c>
      <c r="X78" s="43">
        <v>650</v>
      </c>
      <c r="Y78" s="43">
        <v>650</v>
      </c>
      <c r="Z78" s="43">
        <v>650</v>
      </c>
      <c r="AA78" s="42">
        <f>SUM(W78:Z78)</f>
        <v>2600</v>
      </c>
      <c r="AB78" s="43">
        <v>750</v>
      </c>
      <c r="AC78" s="43">
        <v>750</v>
      </c>
      <c r="AD78" s="43">
        <v>750</v>
      </c>
      <c r="AE78" s="43">
        <v>750</v>
      </c>
      <c r="AF78" s="42">
        <f>SUM(AB78:AE78)</f>
        <v>3000</v>
      </c>
      <c r="AG78" s="10"/>
      <c r="AH78" s="10"/>
    </row>
    <row r="79" spans="1:35" ht="14.5" x14ac:dyDescent="0.3">
      <c r="A79" s="24" t="s">
        <v>151</v>
      </c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43">
        <v>375</v>
      </c>
      <c r="S79" s="43">
        <v>375</v>
      </c>
      <c r="T79" s="43">
        <v>375</v>
      </c>
      <c r="U79" s="43">
        <v>375</v>
      </c>
      <c r="V79" s="42">
        <f>SUM(R79:U79)</f>
        <v>1500</v>
      </c>
      <c r="W79" s="43">
        <v>400</v>
      </c>
      <c r="X79" s="43">
        <v>400</v>
      </c>
      <c r="Y79" s="43">
        <v>400</v>
      </c>
      <c r="Z79" s="43">
        <v>400</v>
      </c>
      <c r="AA79" s="42">
        <f>SUM(W79:Z79)</f>
        <v>1600</v>
      </c>
      <c r="AB79" s="43">
        <v>425</v>
      </c>
      <c r="AC79" s="43">
        <v>425</v>
      </c>
      <c r="AD79" s="43">
        <v>425</v>
      </c>
      <c r="AE79" s="43">
        <v>425</v>
      </c>
      <c r="AF79" s="42">
        <f>SUM(AB79:AE79)</f>
        <v>1700</v>
      </c>
      <c r="AG79" s="10"/>
      <c r="AH79" s="10"/>
    </row>
    <row r="80" spans="1:35" ht="24" x14ac:dyDescent="0.3">
      <c r="A80" s="28" t="s">
        <v>152</v>
      </c>
      <c r="B80" s="41">
        <v>844.5</v>
      </c>
      <c r="C80" s="41">
        <v>844.5</v>
      </c>
      <c r="D80" s="41">
        <v>844.5</v>
      </c>
      <c r="E80" s="41">
        <v>844.5</v>
      </c>
      <c r="F80" s="42">
        <f>SUM(B80:E80)</f>
        <v>3378</v>
      </c>
      <c r="G80" s="41">
        <v>485.25</v>
      </c>
      <c r="H80" s="41">
        <v>485.25</v>
      </c>
      <c r="I80" s="41">
        <v>485.25</v>
      </c>
      <c r="J80" s="41">
        <v>485.25</v>
      </c>
      <c r="K80" s="42">
        <f>SUM(G80:J80)</f>
        <v>1941</v>
      </c>
      <c r="L80" s="41">
        <v>415.75</v>
      </c>
      <c r="M80" s="41">
        <v>415.75</v>
      </c>
      <c r="N80" s="41">
        <v>415.75</v>
      </c>
      <c r="O80" s="41">
        <v>415.75</v>
      </c>
      <c r="P80" s="42">
        <f>SUM(L80:O80)</f>
        <v>1663</v>
      </c>
      <c r="Q80" s="10"/>
      <c r="R80" s="44">
        <f>CHOOSE(MATCH($B$2,{"Base","Bull","Bear"},0),R77,R78,R79)</f>
        <v>450</v>
      </c>
      <c r="S80" s="44">
        <f>CHOOSE(MATCH($B$2,{"Base","Bull","Bear"},0),S77,S78,S79)</f>
        <v>450</v>
      </c>
      <c r="T80" s="44">
        <f>CHOOSE(MATCH($B$2,{"Base","Bull","Bear"},0),T77,T78,T79)</f>
        <v>450</v>
      </c>
      <c r="U80" s="44">
        <f>CHOOSE(MATCH($B$2,{"Base","Bull","Bear"},0),U77,U78,U79)</f>
        <v>450</v>
      </c>
      <c r="V80" s="45">
        <f>SUM(R80:U80)</f>
        <v>1800</v>
      </c>
      <c r="W80" s="44">
        <f>CHOOSE(MATCH($B$2,{"Base","Bull","Bear"},0),W77,W78,W79)</f>
        <v>500</v>
      </c>
      <c r="X80" s="44">
        <f>CHOOSE(MATCH($B$2,{"Base","Bull","Bear"},0),X77,X78,X79)</f>
        <v>500</v>
      </c>
      <c r="Y80" s="44">
        <f>CHOOSE(MATCH($B$2,{"Base","Bull","Bear"},0),Y77,Y78,Y79)</f>
        <v>500</v>
      </c>
      <c r="Z80" s="44">
        <f>CHOOSE(MATCH($B$2,{"Base","Bull","Bear"},0),Z77,Z78,Z79)</f>
        <v>500</v>
      </c>
      <c r="AA80" s="45">
        <f>SUM(W80:Z80)</f>
        <v>2000</v>
      </c>
      <c r="AB80" s="44">
        <f>CHOOSE(MATCH($B$2,{"Base","Bull","Bear"},0),AB77,AB78,AB79)</f>
        <v>550</v>
      </c>
      <c r="AC80" s="44">
        <f>CHOOSE(MATCH($B$2,{"Base","Bull","Bear"},0),AC77,AC78,AC79)</f>
        <v>550</v>
      </c>
      <c r="AD80" s="44">
        <f>CHOOSE(MATCH($B$2,{"Base","Bull","Bear"},0),AD77,AD78,AD79)</f>
        <v>550</v>
      </c>
      <c r="AE80" s="44">
        <f>CHOOSE(MATCH($B$2,{"Base","Bull","Bear"},0),AE77,AE78,AE79)</f>
        <v>550</v>
      </c>
      <c r="AF80" s="45">
        <f>SUM(AB80:AE80)</f>
        <v>2200</v>
      </c>
      <c r="AG80" s="10"/>
      <c r="AH80" s="10"/>
      <c r="AI80" s="20" t="s">
        <v>178</v>
      </c>
    </row>
    <row r="82" spans="1:35" ht="15" x14ac:dyDescent="0.35">
      <c r="A82" s="9" t="s">
        <v>179</v>
      </c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</row>
    <row r="83" spans="1:35" x14ac:dyDescent="0.25">
      <c r="A83" s="7" t="s">
        <v>180</v>
      </c>
    </row>
    <row r="84" spans="1:35" ht="14.5" x14ac:dyDescent="0.3">
      <c r="A84" s="24" t="s">
        <v>149</v>
      </c>
      <c r="B84" s="31">
        <v>0.314</v>
      </c>
      <c r="C84" s="31">
        <v>0.314</v>
      </c>
      <c r="D84" s="31">
        <v>0.314</v>
      </c>
      <c r="E84" s="31">
        <v>0.314</v>
      </c>
      <c r="F84" s="32">
        <f>AVERAGE(B84:E84)</f>
        <v>0.314</v>
      </c>
      <c r="G84" s="31">
        <v>0.34799999999999998</v>
      </c>
      <c r="H84" s="31">
        <v>0.34799999999999998</v>
      </c>
      <c r="I84" s="31">
        <v>0.34799999999999998</v>
      </c>
      <c r="J84" s="31">
        <v>0.34799999999999998</v>
      </c>
      <c r="K84" s="32">
        <f>AVERAGE(G84:J84)</f>
        <v>0.34799999999999998</v>
      </c>
      <c r="L84" s="31">
        <v>0.28899999999999998</v>
      </c>
      <c r="M84" s="31">
        <v>0.28899999999999998</v>
      </c>
      <c r="N84" s="31">
        <v>0.28899999999999998</v>
      </c>
      <c r="O84" s="31">
        <v>0.28899999999999998</v>
      </c>
      <c r="P84" s="32">
        <f>AVERAGE(L84:O84)</f>
        <v>0.28899999999999998</v>
      </c>
      <c r="Q84" s="10"/>
      <c r="R84" s="33">
        <v>0.3</v>
      </c>
      <c r="S84" s="33">
        <v>0.3</v>
      </c>
      <c r="T84" s="33">
        <v>0.3</v>
      </c>
      <c r="U84" s="33">
        <v>0.3</v>
      </c>
      <c r="V84" s="32">
        <f>AVERAGE(R84:U84)</f>
        <v>0.3</v>
      </c>
      <c r="W84" s="33">
        <v>0.315</v>
      </c>
      <c r="X84" s="33">
        <v>0.315</v>
      </c>
      <c r="Y84" s="33">
        <v>0.315</v>
      </c>
      <c r="Z84" s="33">
        <v>0.315</v>
      </c>
      <c r="AA84" s="32">
        <f>AVERAGE(W84:Z84)</f>
        <v>0.315</v>
      </c>
      <c r="AB84" s="33">
        <v>0.33</v>
      </c>
      <c r="AC84" s="33">
        <v>0.33</v>
      </c>
      <c r="AD84" s="33">
        <v>0.33</v>
      </c>
      <c r="AE84" s="33">
        <v>0.33</v>
      </c>
      <c r="AF84" s="32">
        <f>AVERAGE(AB84:AE84)</f>
        <v>0.33</v>
      </c>
      <c r="AG84" s="10"/>
      <c r="AH84" s="10"/>
    </row>
    <row r="85" spans="1:35" ht="14.5" x14ac:dyDescent="0.3">
      <c r="A85" s="24" t="s">
        <v>150</v>
      </c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33">
        <v>0.33</v>
      </c>
      <c r="S85" s="33">
        <v>0.33</v>
      </c>
      <c r="T85" s="33">
        <v>0.33</v>
      </c>
      <c r="U85" s="33">
        <v>0.33</v>
      </c>
      <c r="V85" s="32">
        <f>AVERAGE(R85:U85)</f>
        <v>0.33</v>
      </c>
      <c r="W85" s="33">
        <v>0.36</v>
      </c>
      <c r="X85" s="33">
        <v>0.36</v>
      </c>
      <c r="Y85" s="33">
        <v>0.36</v>
      </c>
      <c r="Z85" s="33">
        <v>0.36</v>
      </c>
      <c r="AA85" s="32">
        <f>AVERAGE(W85:Z85)</f>
        <v>0.36</v>
      </c>
      <c r="AB85" s="33">
        <v>0.38</v>
      </c>
      <c r="AC85" s="33">
        <v>0.38</v>
      </c>
      <c r="AD85" s="33">
        <v>0.38</v>
      </c>
      <c r="AE85" s="33">
        <v>0.38</v>
      </c>
      <c r="AF85" s="32">
        <f>AVERAGE(AB85:AE85)</f>
        <v>0.38</v>
      </c>
      <c r="AG85" s="10"/>
      <c r="AH85" s="10"/>
    </row>
    <row r="86" spans="1:35" ht="14.5" x14ac:dyDescent="0.3">
      <c r="A86" s="24" t="s">
        <v>151</v>
      </c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33">
        <v>0.27</v>
      </c>
      <c r="S86" s="33">
        <v>0.27</v>
      </c>
      <c r="T86" s="33">
        <v>0.27</v>
      </c>
      <c r="U86" s="33">
        <v>0.27</v>
      </c>
      <c r="V86" s="32">
        <f>AVERAGE(R86:U86)</f>
        <v>0.27</v>
      </c>
      <c r="W86" s="33">
        <v>0.27</v>
      </c>
      <c r="X86" s="33">
        <v>0.27</v>
      </c>
      <c r="Y86" s="33">
        <v>0.27</v>
      </c>
      <c r="Z86" s="33">
        <v>0.27</v>
      </c>
      <c r="AA86" s="32">
        <f>AVERAGE(W86:Z86)</f>
        <v>0.27</v>
      </c>
      <c r="AB86" s="33">
        <v>0.28000000000000003</v>
      </c>
      <c r="AC86" s="33">
        <v>0.28000000000000003</v>
      </c>
      <c r="AD86" s="33">
        <v>0.28000000000000003</v>
      </c>
      <c r="AE86" s="33">
        <v>0.28000000000000003</v>
      </c>
      <c r="AF86" s="32">
        <f>AVERAGE(AB86:AE86)</f>
        <v>0.28000000000000003</v>
      </c>
      <c r="AG86" s="10"/>
      <c r="AH86" s="10"/>
    </row>
    <row r="87" spans="1:35" ht="24" x14ac:dyDescent="0.3">
      <c r="A87" s="28" t="s">
        <v>152</v>
      </c>
      <c r="B87" s="31">
        <v>0.314</v>
      </c>
      <c r="C87" s="31">
        <v>0.314</v>
      </c>
      <c r="D87" s="31">
        <v>0.314</v>
      </c>
      <c r="E87" s="31">
        <v>0.314</v>
      </c>
      <c r="F87" s="32">
        <f>AVERAGE(B87:E87)</f>
        <v>0.314</v>
      </c>
      <c r="G87" s="31">
        <v>0.34799999999999998</v>
      </c>
      <c r="H87" s="31">
        <v>0.34799999999999998</v>
      </c>
      <c r="I87" s="31">
        <v>0.34799999999999998</v>
      </c>
      <c r="J87" s="31">
        <v>0.34799999999999998</v>
      </c>
      <c r="K87" s="32">
        <f>AVERAGE(G87:J87)</f>
        <v>0.34799999999999998</v>
      </c>
      <c r="L87" s="31">
        <v>0.28899999999999998</v>
      </c>
      <c r="M87" s="31">
        <v>0.28899999999999998</v>
      </c>
      <c r="N87" s="31">
        <v>0.28899999999999998</v>
      </c>
      <c r="O87" s="31">
        <v>0.28899999999999998</v>
      </c>
      <c r="P87" s="32">
        <f>AVERAGE(L87:O87)</f>
        <v>0.28899999999999998</v>
      </c>
      <c r="Q87" s="10"/>
      <c r="R87" s="34">
        <f>CHOOSE(MATCH($B$2,{"Base","Bull","Bear"},0),R84,R85,R86)</f>
        <v>0.3</v>
      </c>
      <c r="S87" s="34">
        <f>CHOOSE(MATCH($B$2,{"Base","Bull","Bear"},0),S84,S85,S86)</f>
        <v>0.3</v>
      </c>
      <c r="T87" s="34">
        <f>CHOOSE(MATCH($B$2,{"Base","Bull","Bear"},0),T84,T85,T86)</f>
        <v>0.3</v>
      </c>
      <c r="U87" s="34">
        <f>CHOOSE(MATCH($B$2,{"Base","Bull","Bear"},0),U84,U85,U86)</f>
        <v>0.3</v>
      </c>
      <c r="V87" s="35">
        <f>AVERAGE(R87:U87)</f>
        <v>0.3</v>
      </c>
      <c r="W87" s="34">
        <f>CHOOSE(MATCH($B$2,{"Base","Bull","Bear"},0),W84,W85,W86)</f>
        <v>0.315</v>
      </c>
      <c r="X87" s="34">
        <f>CHOOSE(MATCH($B$2,{"Base","Bull","Bear"},0),X84,X85,X86)</f>
        <v>0.315</v>
      </c>
      <c r="Y87" s="34">
        <f>CHOOSE(MATCH($B$2,{"Base","Bull","Bear"},0),Y84,Y85,Y86)</f>
        <v>0.315</v>
      </c>
      <c r="Z87" s="34">
        <f>CHOOSE(MATCH($B$2,{"Base","Bull","Bear"},0),Z84,Z85,Z86)</f>
        <v>0.315</v>
      </c>
      <c r="AA87" s="35">
        <f>AVERAGE(W87:Z87)</f>
        <v>0.315</v>
      </c>
      <c r="AB87" s="34">
        <f>CHOOSE(MATCH($B$2,{"Base","Bull","Bear"},0),AB84,AB85,AB86)</f>
        <v>0.33</v>
      </c>
      <c r="AC87" s="34">
        <f>CHOOSE(MATCH($B$2,{"Base","Bull","Bear"},0),AC84,AC85,AC86)</f>
        <v>0.33</v>
      </c>
      <c r="AD87" s="34">
        <f>CHOOSE(MATCH($B$2,{"Base","Bull","Bear"},0),AD84,AD85,AD86)</f>
        <v>0.33</v>
      </c>
      <c r="AE87" s="34">
        <f>CHOOSE(MATCH($B$2,{"Base","Bull","Bear"},0),AE84,AE85,AE86)</f>
        <v>0.33</v>
      </c>
      <c r="AF87" s="35">
        <f>AVERAGE(AB87:AE87)</f>
        <v>0.33</v>
      </c>
      <c r="AG87" s="10"/>
      <c r="AH87" s="10"/>
      <c r="AI87" s="20" t="s">
        <v>181</v>
      </c>
    </row>
    <row r="89" spans="1:35" x14ac:dyDescent="0.25">
      <c r="A89" s="7" t="s">
        <v>182</v>
      </c>
    </row>
    <row r="90" spans="1:35" ht="14.5" x14ac:dyDescent="0.3">
      <c r="A90" s="24" t="s">
        <v>149</v>
      </c>
      <c r="B90" s="31">
        <v>5.8999999999999997E-2</v>
      </c>
      <c r="C90" s="31">
        <v>5.8999999999999997E-2</v>
      </c>
      <c r="D90" s="31">
        <v>5.8999999999999997E-2</v>
      </c>
      <c r="E90" s="31">
        <v>5.8999999999999997E-2</v>
      </c>
      <c r="F90" s="32">
        <f>AVERAGE(B90:E90)</f>
        <v>5.8999999999999997E-2</v>
      </c>
      <c r="G90" s="31">
        <v>8.7999999999999995E-2</v>
      </c>
      <c r="H90" s="31">
        <v>8.7999999999999995E-2</v>
      </c>
      <c r="I90" s="31">
        <v>8.7999999999999995E-2</v>
      </c>
      <c r="J90" s="31">
        <v>8.7999999999999995E-2</v>
      </c>
      <c r="K90" s="32">
        <f>AVERAGE(G90:J90)</f>
        <v>8.7999999999999995E-2</v>
      </c>
      <c r="L90" s="31">
        <v>0.20200000000000001</v>
      </c>
      <c r="M90" s="31">
        <v>0.20200000000000001</v>
      </c>
      <c r="N90" s="31">
        <v>0.20200000000000001</v>
      </c>
      <c r="O90" s="31">
        <v>0.20200000000000001</v>
      </c>
      <c r="P90" s="32">
        <f>AVERAGE(L90:O90)</f>
        <v>0.20200000000000001</v>
      </c>
      <c r="Q90" s="10"/>
      <c r="R90" s="33">
        <v>0.28000000000000003</v>
      </c>
      <c r="S90" s="33">
        <v>0.28000000000000003</v>
      </c>
      <c r="T90" s="33">
        <v>0.28000000000000003</v>
      </c>
      <c r="U90" s="33">
        <v>0.28000000000000003</v>
      </c>
      <c r="V90" s="32">
        <f>AVERAGE(R90:U90)</f>
        <v>0.28000000000000003</v>
      </c>
      <c r="W90" s="33">
        <v>0.28000000000000003</v>
      </c>
      <c r="X90" s="33">
        <v>0.28000000000000003</v>
      </c>
      <c r="Y90" s="33">
        <v>0.28000000000000003</v>
      </c>
      <c r="Z90" s="33">
        <v>0.28000000000000003</v>
      </c>
      <c r="AA90" s="32">
        <f>AVERAGE(W90:Z90)</f>
        <v>0.28000000000000003</v>
      </c>
      <c r="AB90" s="33">
        <v>0.27</v>
      </c>
      <c r="AC90" s="33">
        <v>0.27</v>
      </c>
      <c r="AD90" s="33">
        <v>0.27</v>
      </c>
      <c r="AE90" s="33">
        <v>0.27</v>
      </c>
      <c r="AF90" s="32">
        <f>AVERAGE(AB90:AE90)</f>
        <v>0.27</v>
      </c>
      <c r="AG90" s="10"/>
      <c r="AH90" s="10"/>
    </row>
    <row r="91" spans="1:35" ht="14.5" x14ac:dyDescent="0.3">
      <c r="A91" s="24" t="s">
        <v>150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33">
        <v>0.32</v>
      </c>
      <c r="S91" s="33">
        <v>0.32</v>
      </c>
      <c r="T91" s="33">
        <v>0.32</v>
      </c>
      <c r="U91" s="33">
        <v>0.32</v>
      </c>
      <c r="V91" s="32">
        <f>AVERAGE(R91:U91)</f>
        <v>0.32</v>
      </c>
      <c r="W91" s="33">
        <v>0.33</v>
      </c>
      <c r="X91" s="33">
        <v>0.33</v>
      </c>
      <c r="Y91" s="33">
        <v>0.33</v>
      </c>
      <c r="Z91" s="33">
        <v>0.33</v>
      </c>
      <c r="AA91" s="32">
        <f>AVERAGE(W91:Z91)</f>
        <v>0.33</v>
      </c>
      <c r="AB91" s="33">
        <v>0.32</v>
      </c>
      <c r="AC91" s="33">
        <v>0.32</v>
      </c>
      <c r="AD91" s="33">
        <v>0.32</v>
      </c>
      <c r="AE91" s="33">
        <v>0.32</v>
      </c>
      <c r="AF91" s="32">
        <f>AVERAGE(AB91:AE91)</f>
        <v>0.32</v>
      </c>
      <c r="AG91" s="10"/>
      <c r="AH91" s="10"/>
    </row>
    <row r="92" spans="1:35" ht="14.5" x14ac:dyDescent="0.3">
      <c r="A92" s="24" t="s">
        <v>151</v>
      </c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33">
        <v>0.22</v>
      </c>
      <c r="S92" s="33">
        <v>0.22</v>
      </c>
      <c r="T92" s="33">
        <v>0.22</v>
      </c>
      <c r="U92" s="33">
        <v>0.22</v>
      </c>
      <c r="V92" s="32">
        <f>AVERAGE(R92:U92)</f>
        <v>0.22</v>
      </c>
      <c r="W92" s="33">
        <v>0.2</v>
      </c>
      <c r="X92" s="33">
        <v>0.2</v>
      </c>
      <c r="Y92" s="33">
        <v>0.2</v>
      </c>
      <c r="Z92" s="33">
        <v>0.2</v>
      </c>
      <c r="AA92" s="32">
        <f>AVERAGE(W92:Z92)</f>
        <v>0.2</v>
      </c>
      <c r="AB92" s="33">
        <v>0.18</v>
      </c>
      <c r="AC92" s="33">
        <v>0.18</v>
      </c>
      <c r="AD92" s="33">
        <v>0.18</v>
      </c>
      <c r="AE92" s="33">
        <v>0.18</v>
      </c>
      <c r="AF92" s="32">
        <f>AVERAGE(AB92:AE92)</f>
        <v>0.18</v>
      </c>
      <c r="AG92" s="10"/>
      <c r="AH92" s="10"/>
    </row>
    <row r="93" spans="1:35" ht="14.5" x14ac:dyDescent="0.3">
      <c r="A93" s="28" t="s">
        <v>152</v>
      </c>
      <c r="B93" s="31">
        <v>5.8999999999999997E-2</v>
      </c>
      <c r="C93" s="31">
        <v>5.8999999999999997E-2</v>
      </c>
      <c r="D93" s="31">
        <v>5.8999999999999997E-2</v>
      </c>
      <c r="E93" s="31">
        <v>5.8999999999999997E-2</v>
      </c>
      <c r="F93" s="32">
        <f>AVERAGE(B93:E93)</f>
        <v>5.8999999999999997E-2</v>
      </c>
      <c r="G93" s="31">
        <v>8.7999999999999995E-2</v>
      </c>
      <c r="H93" s="31">
        <v>8.7999999999999995E-2</v>
      </c>
      <c r="I93" s="31">
        <v>8.7999999999999995E-2</v>
      </c>
      <c r="J93" s="31">
        <v>8.7999999999999995E-2</v>
      </c>
      <c r="K93" s="32">
        <f>AVERAGE(G93:J93)</f>
        <v>8.7999999999999995E-2</v>
      </c>
      <c r="L93" s="31">
        <v>0.20200000000000001</v>
      </c>
      <c r="M93" s="31">
        <v>0.20200000000000001</v>
      </c>
      <c r="N93" s="31">
        <v>0.20200000000000001</v>
      </c>
      <c r="O93" s="31">
        <v>0.20200000000000001</v>
      </c>
      <c r="P93" s="32">
        <f>AVERAGE(L93:O93)</f>
        <v>0.20200000000000001</v>
      </c>
      <c r="Q93" s="10"/>
      <c r="R93" s="34">
        <f>CHOOSE(MATCH($B$2,{"Base","Bull","Bear"},0),R90,R91,R92)</f>
        <v>0.28000000000000003</v>
      </c>
      <c r="S93" s="34">
        <f>CHOOSE(MATCH($B$2,{"Base","Bull","Bear"},0),S90,S91,S92)</f>
        <v>0.28000000000000003</v>
      </c>
      <c r="T93" s="34">
        <f>CHOOSE(MATCH($B$2,{"Base","Bull","Bear"},0),T90,T91,T92)</f>
        <v>0.28000000000000003</v>
      </c>
      <c r="U93" s="34">
        <f>CHOOSE(MATCH($B$2,{"Base","Bull","Bear"},0),U90,U91,U92)</f>
        <v>0.28000000000000003</v>
      </c>
      <c r="V93" s="35">
        <f>AVERAGE(R93:U93)</f>
        <v>0.28000000000000003</v>
      </c>
      <c r="W93" s="34">
        <f>CHOOSE(MATCH($B$2,{"Base","Bull","Bear"},0),W90,W91,W92)</f>
        <v>0.28000000000000003</v>
      </c>
      <c r="X93" s="34">
        <f>CHOOSE(MATCH($B$2,{"Base","Bull","Bear"},0),X90,X91,X92)</f>
        <v>0.28000000000000003</v>
      </c>
      <c r="Y93" s="34">
        <f>CHOOSE(MATCH($B$2,{"Base","Bull","Bear"},0),Y90,Y91,Y92)</f>
        <v>0.28000000000000003</v>
      </c>
      <c r="Z93" s="34">
        <f>CHOOSE(MATCH($B$2,{"Base","Bull","Bear"},0),Z90,Z91,Z92)</f>
        <v>0.28000000000000003</v>
      </c>
      <c r="AA93" s="35">
        <f>AVERAGE(W93:Z93)</f>
        <v>0.28000000000000003</v>
      </c>
      <c r="AB93" s="34">
        <f>CHOOSE(MATCH($B$2,{"Base","Bull","Bear"},0),AB90,AB91,AB92)</f>
        <v>0.27</v>
      </c>
      <c r="AC93" s="34">
        <f>CHOOSE(MATCH($B$2,{"Base","Bull","Bear"},0),AC90,AC91,AC92)</f>
        <v>0.27</v>
      </c>
      <c r="AD93" s="34">
        <f>CHOOSE(MATCH($B$2,{"Base","Bull","Bear"},0),AD90,AD91,AD92)</f>
        <v>0.27</v>
      </c>
      <c r="AE93" s="34">
        <f>CHOOSE(MATCH($B$2,{"Base","Bull","Bear"},0),AE90,AE91,AE92)</f>
        <v>0.27</v>
      </c>
      <c r="AF93" s="35">
        <f>AVERAGE(AB93:AE93)</f>
        <v>0.27</v>
      </c>
      <c r="AG93" s="10"/>
      <c r="AH93" s="10"/>
      <c r="AI93" s="20" t="s">
        <v>183</v>
      </c>
    </row>
    <row r="95" spans="1:35" x14ac:dyDescent="0.25">
      <c r="A95" s="7" t="s">
        <v>184</v>
      </c>
    </row>
    <row r="96" spans="1:35" ht="14.5" x14ac:dyDescent="0.3">
      <c r="A96" s="24" t="s">
        <v>149</v>
      </c>
      <c r="B96" s="31">
        <v>-0.38300000000000001</v>
      </c>
      <c r="C96" s="31">
        <v>-0.38300000000000001</v>
      </c>
      <c r="D96" s="31">
        <v>-0.38300000000000001</v>
      </c>
      <c r="E96" s="31">
        <v>-0.38300000000000001</v>
      </c>
      <c r="F96" s="32">
        <f>AVERAGE(B96:E96)</f>
        <v>-0.38300000000000001</v>
      </c>
      <c r="G96" s="31">
        <v>-0.76700000000000002</v>
      </c>
      <c r="H96" s="31">
        <v>-0.76700000000000002</v>
      </c>
      <c r="I96" s="31">
        <v>-0.76700000000000002</v>
      </c>
      <c r="J96" s="31">
        <v>-0.76700000000000002</v>
      </c>
      <c r="K96" s="32">
        <f>AVERAGE(G96:J96)</f>
        <v>-0.76700000000000002</v>
      </c>
      <c r="L96" s="31">
        <v>-0.57899999999999996</v>
      </c>
      <c r="M96" s="31">
        <v>-0.57899999999999996</v>
      </c>
      <c r="N96" s="31">
        <v>-0.57899999999999996</v>
      </c>
      <c r="O96" s="31">
        <v>-0.57899999999999996</v>
      </c>
      <c r="P96" s="32">
        <f>AVERAGE(L96:O96)</f>
        <v>-0.57899999999999996</v>
      </c>
      <c r="Q96" s="10"/>
      <c r="R96" s="33">
        <v>-0.42</v>
      </c>
      <c r="S96" s="33">
        <v>-0.42</v>
      </c>
      <c r="T96" s="33">
        <v>-0.42</v>
      </c>
      <c r="U96" s="33">
        <v>-0.42</v>
      </c>
      <c r="V96" s="32">
        <f>AVERAGE(R96:U96)</f>
        <v>-0.42</v>
      </c>
      <c r="W96" s="33">
        <v>-0.32</v>
      </c>
      <c r="X96" s="33">
        <v>-0.32</v>
      </c>
      <c r="Y96" s="33">
        <v>-0.32</v>
      </c>
      <c r="Z96" s="33">
        <v>-0.32</v>
      </c>
      <c r="AA96" s="32">
        <f>AVERAGE(W96:Z96)</f>
        <v>-0.32</v>
      </c>
      <c r="AB96" s="33">
        <v>-0.22</v>
      </c>
      <c r="AC96" s="33">
        <v>-0.22</v>
      </c>
      <c r="AD96" s="33">
        <v>-0.22</v>
      </c>
      <c r="AE96" s="33">
        <v>-0.22</v>
      </c>
      <c r="AF96" s="32">
        <f>AVERAGE(AB96:AE96)</f>
        <v>-0.22</v>
      </c>
      <c r="AG96" s="10"/>
      <c r="AH96" s="10"/>
    </row>
    <row r="97" spans="1:35" ht="14.5" x14ac:dyDescent="0.3">
      <c r="A97" s="24" t="s">
        <v>150</v>
      </c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33">
        <v>-0.35</v>
      </c>
      <c r="S97" s="33">
        <v>-0.35</v>
      </c>
      <c r="T97" s="33">
        <v>-0.35</v>
      </c>
      <c r="U97" s="33">
        <v>-0.35</v>
      </c>
      <c r="V97" s="32">
        <f>AVERAGE(R97:U97)</f>
        <v>-0.35</v>
      </c>
      <c r="W97" s="33">
        <v>-0.2</v>
      </c>
      <c r="X97" s="33">
        <v>-0.2</v>
      </c>
      <c r="Y97" s="33">
        <v>-0.2</v>
      </c>
      <c r="Z97" s="33">
        <v>-0.2</v>
      </c>
      <c r="AA97" s="32">
        <f>AVERAGE(W97:Z97)</f>
        <v>-0.2</v>
      </c>
      <c r="AB97" s="33">
        <v>-0.08</v>
      </c>
      <c r="AC97" s="33">
        <v>-0.08</v>
      </c>
      <c r="AD97" s="33">
        <v>-0.08</v>
      </c>
      <c r="AE97" s="33">
        <v>-0.08</v>
      </c>
      <c r="AF97" s="32">
        <f>AVERAGE(AB97:AE97)</f>
        <v>-0.08</v>
      </c>
      <c r="AG97" s="10"/>
      <c r="AH97" s="10"/>
    </row>
    <row r="98" spans="1:35" ht="14.5" x14ac:dyDescent="0.3">
      <c r="A98" s="24" t="s">
        <v>151</v>
      </c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33">
        <v>-0.5</v>
      </c>
      <c r="S98" s="33">
        <v>-0.5</v>
      </c>
      <c r="T98" s="33">
        <v>-0.5</v>
      </c>
      <c r="U98" s="33">
        <v>-0.5</v>
      </c>
      <c r="V98" s="32">
        <f>AVERAGE(R98:U98)</f>
        <v>-0.5</v>
      </c>
      <c r="W98" s="33">
        <v>-0.45</v>
      </c>
      <c r="X98" s="33">
        <v>-0.45</v>
      </c>
      <c r="Y98" s="33">
        <v>-0.45</v>
      </c>
      <c r="Z98" s="33">
        <v>-0.45</v>
      </c>
      <c r="AA98" s="32">
        <f>AVERAGE(W98:Z98)</f>
        <v>-0.45</v>
      </c>
      <c r="AB98" s="33">
        <v>-0.4</v>
      </c>
      <c r="AC98" s="33">
        <v>-0.4</v>
      </c>
      <c r="AD98" s="33">
        <v>-0.4</v>
      </c>
      <c r="AE98" s="33">
        <v>-0.4</v>
      </c>
      <c r="AF98" s="32">
        <f>AVERAGE(AB98:AE98)</f>
        <v>-0.4</v>
      </c>
      <c r="AG98" s="10"/>
      <c r="AH98" s="10"/>
    </row>
    <row r="99" spans="1:35" ht="24" x14ac:dyDescent="0.3">
      <c r="A99" s="28" t="s">
        <v>152</v>
      </c>
      <c r="B99" s="31">
        <v>-0.38300000000000001</v>
      </c>
      <c r="C99" s="31">
        <v>-0.38300000000000001</v>
      </c>
      <c r="D99" s="31">
        <v>-0.38300000000000001</v>
      </c>
      <c r="E99" s="31">
        <v>-0.38300000000000001</v>
      </c>
      <c r="F99" s="32">
        <f>AVERAGE(B99:E99)</f>
        <v>-0.38300000000000001</v>
      </c>
      <c r="G99" s="31">
        <v>-0.76700000000000002</v>
      </c>
      <c r="H99" s="31">
        <v>-0.76700000000000002</v>
      </c>
      <c r="I99" s="31">
        <v>-0.76700000000000002</v>
      </c>
      <c r="J99" s="31">
        <v>-0.76700000000000002</v>
      </c>
      <c r="K99" s="32">
        <f>AVERAGE(G99:J99)</f>
        <v>-0.76700000000000002</v>
      </c>
      <c r="L99" s="31">
        <v>-0.57899999999999996</v>
      </c>
      <c r="M99" s="31">
        <v>-0.57899999999999996</v>
      </c>
      <c r="N99" s="31">
        <v>-0.57899999999999996</v>
      </c>
      <c r="O99" s="31">
        <v>-0.57899999999999996</v>
      </c>
      <c r="P99" s="32">
        <f>AVERAGE(L99:O99)</f>
        <v>-0.57899999999999996</v>
      </c>
      <c r="Q99" s="10"/>
      <c r="R99" s="34">
        <f>CHOOSE(MATCH($B$2,{"Base","Bull","Bear"},0),R96,R97,R98)</f>
        <v>-0.42</v>
      </c>
      <c r="S99" s="34">
        <f>CHOOSE(MATCH($B$2,{"Base","Bull","Bear"},0),S96,S97,S98)</f>
        <v>-0.42</v>
      </c>
      <c r="T99" s="34">
        <f>CHOOSE(MATCH($B$2,{"Base","Bull","Bear"},0),T96,T97,T98)</f>
        <v>-0.42</v>
      </c>
      <c r="U99" s="34">
        <f>CHOOSE(MATCH($B$2,{"Base","Bull","Bear"},0),U96,U97,U98)</f>
        <v>-0.42</v>
      </c>
      <c r="V99" s="35">
        <f>AVERAGE(R99:U99)</f>
        <v>-0.42</v>
      </c>
      <c r="W99" s="34">
        <f>CHOOSE(MATCH($B$2,{"Base","Bull","Bear"},0),W96,W97,W98)</f>
        <v>-0.32</v>
      </c>
      <c r="X99" s="34">
        <f>CHOOSE(MATCH($B$2,{"Base","Bull","Bear"},0),X96,X97,X98)</f>
        <v>-0.32</v>
      </c>
      <c r="Y99" s="34">
        <f>CHOOSE(MATCH($B$2,{"Base","Bull","Bear"},0),Y96,Y97,Y98)</f>
        <v>-0.32</v>
      </c>
      <c r="Z99" s="34">
        <f>CHOOSE(MATCH($B$2,{"Base","Bull","Bear"},0),Z96,Z97,Z98)</f>
        <v>-0.32</v>
      </c>
      <c r="AA99" s="35">
        <f>AVERAGE(W99:Z99)</f>
        <v>-0.32</v>
      </c>
      <c r="AB99" s="34">
        <f>CHOOSE(MATCH($B$2,{"Base","Bull","Bear"},0),AB96,AB97,AB98)</f>
        <v>-0.22</v>
      </c>
      <c r="AC99" s="34">
        <f>CHOOSE(MATCH($B$2,{"Base","Bull","Bear"},0),AC96,AC97,AC98)</f>
        <v>-0.22</v>
      </c>
      <c r="AD99" s="34">
        <f>CHOOSE(MATCH($B$2,{"Base","Bull","Bear"},0),AD96,AD97,AD98)</f>
        <v>-0.22</v>
      </c>
      <c r="AE99" s="34">
        <f>CHOOSE(MATCH($B$2,{"Base","Bull","Bear"},0),AE96,AE97,AE98)</f>
        <v>-0.22</v>
      </c>
      <c r="AF99" s="35">
        <f>AVERAGE(AB99:AE99)</f>
        <v>-0.22</v>
      </c>
      <c r="AG99" s="10"/>
      <c r="AH99" s="10"/>
      <c r="AI99" s="20" t="s">
        <v>185</v>
      </c>
    </row>
    <row r="101" spans="1:35" x14ac:dyDescent="0.25">
      <c r="A101" s="7" t="s">
        <v>186</v>
      </c>
    </row>
    <row r="102" spans="1:35" ht="14.5" x14ac:dyDescent="0.3">
      <c r="A102" s="24" t="s">
        <v>149</v>
      </c>
      <c r="B102" s="31">
        <v>0.27600000000000002</v>
      </c>
      <c r="C102" s="31">
        <v>0.27600000000000002</v>
      </c>
      <c r="D102" s="31">
        <v>0.27600000000000002</v>
      </c>
      <c r="E102" s="31">
        <v>0.27600000000000002</v>
      </c>
      <c r="F102" s="32">
        <f>AVERAGE(B102:E102)</f>
        <v>0.27600000000000002</v>
      </c>
      <c r="G102" s="31">
        <v>-1.6E-2</v>
      </c>
      <c r="H102" s="31">
        <v>-1.6E-2</v>
      </c>
      <c r="I102" s="31">
        <v>-1.6E-2</v>
      </c>
      <c r="J102" s="31">
        <v>-1.6E-2</v>
      </c>
      <c r="K102" s="32">
        <f>AVERAGE(G102:J102)</f>
        <v>-1.6E-2</v>
      </c>
      <c r="L102" s="31">
        <v>7.3999999999999996E-2</v>
      </c>
      <c r="M102" s="31">
        <v>7.3999999999999996E-2</v>
      </c>
      <c r="N102" s="31">
        <v>7.3999999999999996E-2</v>
      </c>
      <c r="O102" s="31">
        <v>7.3999999999999996E-2</v>
      </c>
      <c r="P102" s="32">
        <f>AVERAGE(L102:O102)</f>
        <v>7.3999999999999996E-2</v>
      </c>
      <c r="Q102" s="10"/>
      <c r="R102" s="33">
        <v>0.14000000000000001</v>
      </c>
      <c r="S102" s="33">
        <v>0.14000000000000001</v>
      </c>
      <c r="T102" s="33">
        <v>0.14000000000000001</v>
      </c>
      <c r="U102" s="33">
        <v>0.14000000000000001</v>
      </c>
      <c r="V102" s="32">
        <f>AVERAGE(R102:U102)</f>
        <v>0.14000000000000001</v>
      </c>
      <c r="W102" s="33">
        <v>0.18</v>
      </c>
      <c r="X102" s="33">
        <v>0.18</v>
      </c>
      <c r="Y102" s="33">
        <v>0.18</v>
      </c>
      <c r="Z102" s="33">
        <v>0.18</v>
      </c>
      <c r="AA102" s="32">
        <f>AVERAGE(W102:Z102)</f>
        <v>0.18</v>
      </c>
      <c r="AB102" s="33">
        <v>0.2</v>
      </c>
      <c r="AC102" s="33">
        <v>0.2</v>
      </c>
      <c r="AD102" s="33">
        <v>0.2</v>
      </c>
      <c r="AE102" s="33">
        <v>0.2</v>
      </c>
      <c r="AF102" s="32">
        <f>AVERAGE(AB102:AE102)</f>
        <v>0.2</v>
      </c>
      <c r="AG102" s="10"/>
      <c r="AH102" s="10"/>
    </row>
    <row r="103" spans="1:35" ht="14.5" x14ac:dyDescent="0.3">
      <c r="A103" s="24" t="s">
        <v>150</v>
      </c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33">
        <v>0.2</v>
      </c>
      <c r="S103" s="33">
        <v>0.2</v>
      </c>
      <c r="T103" s="33">
        <v>0.2</v>
      </c>
      <c r="U103" s="33">
        <v>0.2</v>
      </c>
      <c r="V103" s="32">
        <f>AVERAGE(R103:U103)</f>
        <v>0.2</v>
      </c>
      <c r="W103" s="33">
        <v>0.25</v>
      </c>
      <c r="X103" s="33">
        <v>0.25</v>
      </c>
      <c r="Y103" s="33">
        <v>0.25</v>
      </c>
      <c r="Z103" s="33">
        <v>0.25</v>
      </c>
      <c r="AA103" s="32">
        <f>AVERAGE(W103:Z103)</f>
        <v>0.25</v>
      </c>
      <c r="AB103" s="33">
        <v>0.28000000000000003</v>
      </c>
      <c r="AC103" s="33">
        <v>0.28000000000000003</v>
      </c>
      <c r="AD103" s="33">
        <v>0.28000000000000003</v>
      </c>
      <c r="AE103" s="33">
        <v>0.28000000000000003</v>
      </c>
      <c r="AF103" s="32">
        <f>AVERAGE(AB103:AE103)</f>
        <v>0.28000000000000003</v>
      </c>
      <c r="AG103" s="10"/>
      <c r="AH103" s="10"/>
    </row>
    <row r="104" spans="1:35" ht="14.5" x14ac:dyDescent="0.3">
      <c r="A104" s="24" t="s">
        <v>151</v>
      </c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33">
        <v>0.08</v>
      </c>
      <c r="S104" s="33">
        <v>0.08</v>
      </c>
      <c r="T104" s="33">
        <v>0.08</v>
      </c>
      <c r="U104" s="33">
        <v>0.08</v>
      </c>
      <c r="V104" s="32">
        <f>AVERAGE(R104:U104)</f>
        <v>0.08</v>
      </c>
      <c r="W104" s="33">
        <v>0.1</v>
      </c>
      <c r="X104" s="33">
        <v>0.1</v>
      </c>
      <c r="Y104" s="33">
        <v>0.1</v>
      </c>
      <c r="Z104" s="33">
        <v>0.1</v>
      </c>
      <c r="AA104" s="32">
        <f>AVERAGE(W104:Z104)</f>
        <v>0.1</v>
      </c>
      <c r="AB104" s="33">
        <v>0.12</v>
      </c>
      <c r="AC104" s="33">
        <v>0.12</v>
      </c>
      <c r="AD104" s="33">
        <v>0.12</v>
      </c>
      <c r="AE104" s="33">
        <v>0.12</v>
      </c>
      <c r="AF104" s="32">
        <f>AVERAGE(AB104:AE104)</f>
        <v>0.12</v>
      </c>
      <c r="AG104" s="10"/>
      <c r="AH104" s="10"/>
    </row>
    <row r="105" spans="1:35" ht="14.5" x14ac:dyDescent="0.3">
      <c r="A105" s="28" t="s">
        <v>152</v>
      </c>
      <c r="B105" s="31">
        <v>0.27600000000000002</v>
      </c>
      <c r="C105" s="31">
        <v>0.27600000000000002</v>
      </c>
      <c r="D105" s="31">
        <v>0.27600000000000002</v>
      </c>
      <c r="E105" s="31">
        <v>0.27600000000000002</v>
      </c>
      <c r="F105" s="32">
        <f>AVERAGE(B105:E105)</f>
        <v>0.27600000000000002</v>
      </c>
      <c r="G105" s="31">
        <v>-1.6E-2</v>
      </c>
      <c r="H105" s="31">
        <v>-1.6E-2</v>
      </c>
      <c r="I105" s="31">
        <v>-1.6E-2</v>
      </c>
      <c r="J105" s="31">
        <v>-1.6E-2</v>
      </c>
      <c r="K105" s="32">
        <f>AVERAGE(G105:J105)</f>
        <v>-1.6E-2</v>
      </c>
      <c r="L105" s="31">
        <v>7.3999999999999996E-2</v>
      </c>
      <c r="M105" s="31">
        <v>7.3999999999999996E-2</v>
      </c>
      <c r="N105" s="31">
        <v>7.3999999999999996E-2</v>
      </c>
      <c r="O105" s="31">
        <v>7.3999999999999996E-2</v>
      </c>
      <c r="P105" s="32">
        <f>AVERAGE(L105:O105)</f>
        <v>7.3999999999999996E-2</v>
      </c>
      <c r="Q105" s="10"/>
      <c r="R105" s="34">
        <f>CHOOSE(MATCH($B$2,{"Base","Bull","Bear"},0),R102,R103,R104)</f>
        <v>0.14000000000000001</v>
      </c>
      <c r="S105" s="34">
        <f>CHOOSE(MATCH($B$2,{"Base","Bull","Bear"},0),S102,S103,S104)</f>
        <v>0.14000000000000001</v>
      </c>
      <c r="T105" s="34">
        <f>CHOOSE(MATCH($B$2,{"Base","Bull","Bear"},0),T102,T103,T104)</f>
        <v>0.14000000000000001</v>
      </c>
      <c r="U105" s="34">
        <f>CHOOSE(MATCH($B$2,{"Base","Bull","Bear"},0),U102,U103,U104)</f>
        <v>0.14000000000000001</v>
      </c>
      <c r="V105" s="35">
        <f>AVERAGE(R105:U105)</f>
        <v>0.14000000000000001</v>
      </c>
      <c r="W105" s="34">
        <f>CHOOSE(MATCH($B$2,{"Base","Bull","Bear"},0),W102,W103,W104)</f>
        <v>0.18</v>
      </c>
      <c r="X105" s="34">
        <f>CHOOSE(MATCH($B$2,{"Base","Bull","Bear"},0),X102,X103,X104)</f>
        <v>0.18</v>
      </c>
      <c r="Y105" s="34">
        <f>CHOOSE(MATCH($B$2,{"Base","Bull","Bear"},0),Y102,Y103,Y104)</f>
        <v>0.18</v>
      </c>
      <c r="Z105" s="34">
        <f>CHOOSE(MATCH($B$2,{"Base","Bull","Bear"},0),Z102,Z103,Z104)</f>
        <v>0.18</v>
      </c>
      <c r="AA105" s="35">
        <f>AVERAGE(W105:Z105)</f>
        <v>0.18</v>
      </c>
      <c r="AB105" s="34">
        <f>CHOOSE(MATCH($B$2,{"Base","Bull","Bear"},0),AB102,AB103,AB104)</f>
        <v>0.2</v>
      </c>
      <c r="AC105" s="34">
        <f>CHOOSE(MATCH($B$2,{"Base","Bull","Bear"},0),AC102,AC103,AC104)</f>
        <v>0.2</v>
      </c>
      <c r="AD105" s="34">
        <f>CHOOSE(MATCH($B$2,{"Base","Bull","Bear"},0),AD102,AD103,AD104)</f>
        <v>0.2</v>
      </c>
      <c r="AE105" s="34">
        <f>CHOOSE(MATCH($B$2,{"Base","Bull","Bear"},0),AE102,AE103,AE104)</f>
        <v>0.2</v>
      </c>
      <c r="AF105" s="35">
        <f>AVERAGE(AB105:AE105)</f>
        <v>0.2</v>
      </c>
      <c r="AG105" s="10"/>
      <c r="AH105" s="10"/>
      <c r="AI105" s="20" t="s">
        <v>187</v>
      </c>
    </row>
    <row r="107" spans="1:35" ht="15" x14ac:dyDescent="0.35">
      <c r="A107" s="9" t="s">
        <v>188</v>
      </c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</row>
    <row r="108" spans="1:35" x14ac:dyDescent="0.25">
      <c r="A108" s="7" t="s">
        <v>189</v>
      </c>
    </row>
    <row r="109" spans="1:35" ht="14.5" x14ac:dyDescent="0.3">
      <c r="A109" s="24" t="s">
        <v>149</v>
      </c>
      <c r="B109" s="31">
        <v>0.6</v>
      </c>
      <c r="C109" s="31">
        <v>0.6</v>
      </c>
      <c r="D109" s="31">
        <v>0.6</v>
      </c>
      <c r="E109" s="31">
        <v>0.6</v>
      </c>
      <c r="F109" s="32">
        <f>AVERAGE(B109:E109)</f>
        <v>0.6</v>
      </c>
      <c r="G109" s="31">
        <v>0.67300000000000004</v>
      </c>
      <c r="H109" s="31">
        <v>0.67300000000000004</v>
      </c>
      <c r="I109" s="31">
        <v>0.67300000000000004</v>
      </c>
      <c r="J109" s="31">
        <v>0.67300000000000004</v>
      </c>
      <c r="K109" s="32">
        <f>AVERAGE(G109:J109)</f>
        <v>0.67300000000000004</v>
      </c>
      <c r="L109" s="31">
        <v>0.65200000000000002</v>
      </c>
      <c r="M109" s="31">
        <v>0.65200000000000002</v>
      </c>
      <c r="N109" s="31">
        <v>0.65200000000000002</v>
      </c>
      <c r="O109" s="31">
        <v>0.65200000000000002</v>
      </c>
      <c r="P109" s="32">
        <f>AVERAGE(L109:O109)</f>
        <v>0.65200000000000002</v>
      </c>
      <c r="Q109" s="10"/>
      <c r="R109" s="33">
        <v>0.61499999999999999</v>
      </c>
      <c r="S109" s="33">
        <v>0.61499999999999999</v>
      </c>
      <c r="T109" s="33">
        <v>0.61499999999999999</v>
      </c>
      <c r="U109" s="33">
        <v>0.61499999999999999</v>
      </c>
      <c r="V109" s="32">
        <f>AVERAGE(R109:U109)</f>
        <v>0.61499999999999999</v>
      </c>
      <c r="W109" s="33">
        <v>0.59</v>
      </c>
      <c r="X109" s="33">
        <v>0.59</v>
      </c>
      <c r="Y109" s="33">
        <v>0.59</v>
      </c>
      <c r="Z109" s="33">
        <v>0.59</v>
      </c>
      <c r="AA109" s="32">
        <f>AVERAGE(W109:Z109)</f>
        <v>0.59</v>
      </c>
      <c r="AB109" s="33">
        <v>0.56499999999999995</v>
      </c>
      <c r="AC109" s="33">
        <v>0.56499999999999995</v>
      </c>
      <c r="AD109" s="33">
        <v>0.56499999999999995</v>
      </c>
      <c r="AE109" s="33">
        <v>0.56499999999999995</v>
      </c>
      <c r="AF109" s="32">
        <f>AVERAGE(AB109:AE109)</f>
        <v>0.56499999999999995</v>
      </c>
      <c r="AG109" s="10"/>
      <c r="AH109" s="10"/>
    </row>
    <row r="110" spans="1:35" ht="14.5" x14ac:dyDescent="0.3">
      <c r="A110" s="24" t="s">
        <v>150</v>
      </c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33">
        <v>0.59</v>
      </c>
      <c r="S110" s="33">
        <v>0.59</v>
      </c>
      <c r="T110" s="33">
        <v>0.59</v>
      </c>
      <c r="U110" s="33">
        <v>0.59</v>
      </c>
      <c r="V110" s="32">
        <f>AVERAGE(R110:U110)</f>
        <v>0.59</v>
      </c>
      <c r="W110" s="33">
        <v>0.55000000000000004</v>
      </c>
      <c r="X110" s="33">
        <v>0.55000000000000004</v>
      </c>
      <c r="Y110" s="33">
        <v>0.55000000000000004</v>
      </c>
      <c r="Z110" s="33">
        <v>0.55000000000000004</v>
      </c>
      <c r="AA110" s="32">
        <f>AVERAGE(W110:Z110)</f>
        <v>0.55000000000000004</v>
      </c>
      <c r="AB110" s="33">
        <v>0.51</v>
      </c>
      <c r="AC110" s="33">
        <v>0.51</v>
      </c>
      <c r="AD110" s="33">
        <v>0.51</v>
      </c>
      <c r="AE110" s="33">
        <v>0.51</v>
      </c>
      <c r="AF110" s="32">
        <f>AVERAGE(AB110:AE110)</f>
        <v>0.51</v>
      </c>
      <c r="AG110" s="10"/>
      <c r="AH110" s="10"/>
    </row>
    <row r="111" spans="1:35" ht="14.5" x14ac:dyDescent="0.3">
      <c r="A111" s="24" t="s">
        <v>151</v>
      </c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33">
        <v>0.64</v>
      </c>
      <c r="S111" s="33">
        <v>0.64</v>
      </c>
      <c r="T111" s="33">
        <v>0.64</v>
      </c>
      <c r="U111" s="33">
        <v>0.64</v>
      </c>
      <c r="V111" s="32">
        <f>AVERAGE(R111:U111)</f>
        <v>0.64</v>
      </c>
      <c r="W111" s="33">
        <v>0.63</v>
      </c>
      <c r="X111" s="33">
        <v>0.63</v>
      </c>
      <c r="Y111" s="33">
        <v>0.63</v>
      </c>
      <c r="Z111" s="33">
        <v>0.63</v>
      </c>
      <c r="AA111" s="32">
        <f>AVERAGE(W111:Z111)</f>
        <v>0.63</v>
      </c>
      <c r="AB111" s="33">
        <v>0.62</v>
      </c>
      <c r="AC111" s="33">
        <v>0.62</v>
      </c>
      <c r="AD111" s="33">
        <v>0.62</v>
      </c>
      <c r="AE111" s="33">
        <v>0.62</v>
      </c>
      <c r="AF111" s="32">
        <f>AVERAGE(AB111:AE111)</f>
        <v>0.62</v>
      </c>
      <c r="AG111" s="10"/>
      <c r="AH111" s="10"/>
    </row>
    <row r="112" spans="1:35" ht="24" x14ac:dyDescent="0.3">
      <c r="A112" s="28" t="s">
        <v>152</v>
      </c>
      <c r="B112" s="31">
        <v>0.6</v>
      </c>
      <c r="C112" s="31">
        <v>0.6</v>
      </c>
      <c r="D112" s="31">
        <v>0.6</v>
      </c>
      <c r="E112" s="31">
        <v>0.6</v>
      </c>
      <c r="F112" s="32">
        <f>AVERAGE(B112:E112)</f>
        <v>0.6</v>
      </c>
      <c r="G112" s="31">
        <v>0.67300000000000004</v>
      </c>
      <c r="H112" s="31">
        <v>0.67300000000000004</v>
      </c>
      <c r="I112" s="31">
        <v>0.67300000000000004</v>
      </c>
      <c r="J112" s="31">
        <v>0.67300000000000004</v>
      </c>
      <c r="K112" s="32">
        <f>AVERAGE(G112:J112)</f>
        <v>0.67300000000000004</v>
      </c>
      <c r="L112" s="31">
        <v>0.65200000000000002</v>
      </c>
      <c r="M112" s="31">
        <v>0.65200000000000002</v>
      </c>
      <c r="N112" s="31">
        <v>0.65200000000000002</v>
      </c>
      <c r="O112" s="31">
        <v>0.65200000000000002</v>
      </c>
      <c r="P112" s="32">
        <f>AVERAGE(L112:O112)</f>
        <v>0.65200000000000002</v>
      </c>
      <c r="Q112" s="10"/>
      <c r="R112" s="34">
        <f>CHOOSE(MATCH($B$2,{"Base","Bull","Bear"},0),R109,R110,R111)</f>
        <v>0.61499999999999999</v>
      </c>
      <c r="S112" s="34">
        <f>CHOOSE(MATCH($B$2,{"Base","Bull","Bear"},0),S109,S110,S111)</f>
        <v>0.61499999999999999</v>
      </c>
      <c r="T112" s="34">
        <f>CHOOSE(MATCH($B$2,{"Base","Bull","Bear"},0),T109,T110,T111)</f>
        <v>0.61499999999999999</v>
      </c>
      <c r="U112" s="34">
        <f>CHOOSE(MATCH($B$2,{"Base","Bull","Bear"},0),U109,U110,U111)</f>
        <v>0.61499999999999999</v>
      </c>
      <c r="V112" s="35">
        <f>AVERAGE(R112:U112)</f>
        <v>0.61499999999999999</v>
      </c>
      <c r="W112" s="34">
        <f>CHOOSE(MATCH($B$2,{"Base","Bull","Bear"},0),W109,W110,W111)</f>
        <v>0.59</v>
      </c>
      <c r="X112" s="34">
        <f>CHOOSE(MATCH($B$2,{"Base","Bull","Bear"},0),X109,X110,X111)</f>
        <v>0.59</v>
      </c>
      <c r="Y112" s="34">
        <f>CHOOSE(MATCH($B$2,{"Base","Bull","Bear"},0),Y109,Y110,Y111)</f>
        <v>0.59</v>
      </c>
      <c r="Z112" s="34">
        <f>CHOOSE(MATCH($B$2,{"Base","Bull","Bear"},0),Z109,Z110,Z111)</f>
        <v>0.59</v>
      </c>
      <c r="AA112" s="35">
        <f>AVERAGE(W112:Z112)</f>
        <v>0.59</v>
      </c>
      <c r="AB112" s="34">
        <f>CHOOSE(MATCH($B$2,{"Base","Bull","Bear"},0),AB109,AB110,AB111)</f>
        <v>0.56499999999999995</v>
      </c>
      <c r="AC112" s="34">
        <f>CHOOSE(MATCH($B$2,{"Base","Bull","Bear"},0),AC109,AC110,AC111)</f>
        <v>0.56499999999999995</v>
      </c>
      <c r="AD112" s="34">
        <f>CHOOSE(MATCH($B$2,{"Base","Bull","Bear"},0),AD109,AD110,AD111)</f>
        <v>0.56499999999999995</v>
      </c>
      <c r="AE112" s="34">
        <f>CHOOSE(MATCH($B$2,{"Base","Bull","Bear"},0),AE109,AE110,AE111)</f>
        <v>0.56499999999999995</v>
      </c>
      <c r="AF112" s="35">
        <f>AVERAGE(AB112:AE112)</f>
        <v>0.56499999999999995</v>
      </c>
      <c r="AG112" s="10"/>
      <c r="AH112" s="10"/>
      <c r="AI112" s="20" t="s">
        <v>190</v>
      </c>
    </row>
    <row r="114" spans="1:35" x14ac:dyDescent="0.25">
      <c r="A114" s="7" t="s">
        <v>191</v>
      </c>
    </row>
    <row r="115" spans="1:35" ht="14.5" x14ac:dyDescent="0.3">
      <c r="A115" s="24" t="s">
        <v>149</v>
      </c>
      <c r="B115" s="31">
        <v>0.29599999999999999</v>
      </c>
      <c r="C115" s="31">
        <v>0.29599999999999999</v>
      </c>
      <c r="D115" s="31">
        <v>0.29599999999999999</v>
      </c>
      <c r="E115" s="31">
        <v>0.29599999999999999</v>
      </c>
      <c r="F115" s="32">
        <f>AVERAGE(B115:E115)</f>
        <v>0.29599999999999999</v>
      </c>
      <c r="G115" s="31">
        <v>0.312</v>
      </c>
      <c r="H115" s="31">
        <v>0.312</v>
      </c>
      <c r="I115" s="31">
        <v>0.312</v>
      </c>
      <c r="J115" s="31">
        <v>0.312</v>
      </c>
      <c r="K115" s="32">
        <f>AVERAGE(G115:J115)</f>
        <v>0.312</v>
      </c>
      <c r="L115" s="31">
        <v>0.26100000000000001</v>
      </c>
      <c r="M115" s="31">
        <v>0.26100000000000001</v>
      </c>
      <c r="N115" s="31">
        <v>0.26100000000000001</v>
      </c>
      <c r="O115" s="31">
        <v>0.26100000000000001</v>
      </c>
      <c r="P115" s="32">
        <f>AVERAGE(L115:O115)</f>
        <v>0.26100000000000001</v>
      </c>
      <c r="Q115" s="10"/>
      <c r="R115" s="33">
        <v>0.26</v>
      </c>
      <c r="S115" s="33">
        <v>0.26</v>
      </c>
      <c r="T115" s="33">
        <v>0.26</v>
      </c>
      <c r="U115" s="33">
        <v>0.26</v>
      </c>
      <c r="V115" s="32">
        <f>AVERAGE(R115:U115)</f>
        <v>0.26</v>
      </c>
      <c r="W115" s="33">
        <v>0.25</v>
      </c>
      <c r="X115" s="33">
        <v>0.25</v>
      </c>
      <c r="Y115" s="33">
        <v>0.25</v>
      </c>
      <c r="Z115" s="33">
        <v>0.25</v>
      </c>
      <c r="AA115" s="32">
        <f>AVERAGE(W115:Z115)</f>
        <v>0.25</v>
      </c>
      <c r="AB115" s="33">
        <v>0.24</v>
      </c>
      <c r="AC115" s="33">
        <v>0.24</v>
      </c>
      <c r="AD115" s="33">
        <v>0.24</v>
      </c>
      <c r="AE115" s="33">
        <v>0.24</v>
      </c>
      <c r="AF115" s="32">
        <f>AVERAGE(AB115:AE115)</f>
        <v>0.24</v>
      </c>
      <c r="AG115" s="10"/>
      <c r="AH115" s="10"/>
    </row>
    <row r="116" spans="1:35" ht="14.5" x14ac:dyDescent="0.3">
      <c r="A116" s="24" t="s">
        <v>150</v>
      </c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33">
        <v>0.25</v>
      </c>
      <c r="S116" s="33">
        <v>0.25</v>
      </c>
      <c r="T116" s="33">
        <v>0.25</v>
      </c>
      <c r="U116" s="33">
        <v>0.25</v>
      </c>
      <c r="V116" s="32">
        <f>AVERAGE(R116:U116)</f>
        <v>0.25</v>
      </c>
      <c r="W116" s="33">
        <v>0.23</v>
      </c>
      <c r="X116" s="33">
        <v>0.23</v>
      </c>
      <c r="Y116" s="33">
        <v>0.23</v>
      </c>
      <c r="Z116" s="33">
        <v>0.23</v>
      </c>
      <c r="AA116" s="32">
        <f>AVERAGE(W116:Z116)</f>
        <v>0.23</v>
      </c>
      <c r="AB116" s="33">
        <v>0.21</v>
      </c>
      <c r="AC116" s="33">
        <v>0.21</v>
      </c>
      <c r="AD116" s="33">
        <v>0.21</v>
      </c>
      <c r="AE116" s="33">
        <v>0.21</v>
      </c>
      <c r="AF116" s="32">
        <f>AVERAGE(AB116:AE116)</f>
        <v>0.21</v>
      </c>
      <c r="AG116" s="10"/>
      <c r="AH116" s="10"/>
    </row>
    <row r="117" spans="1:35" ht="14.5" x14ac:dyDescent="0.3">
      <c r="A117" s="24" t="s">
        <v>151</v>
      </c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33">
        <v>0.28000000000000003</v>
      </c>
      <c r="S117" s="33">
        <v>0.28000000000000003</v>
      </c>
      <c r="T117" s="33">
        <v>0.28000000000000003</v>
      </c>
      <c r="U117" s="33">
        <v>0.28000000000000003</v>
      </c>
      <c r="V117" s="32">
        <f>AVERAGE(R117:U117)</f>
        <v>0.28000000000000003</v>
      </c>
      <c r="W117" s="33">
        <v>0.28000000000000003</v>
      </c>
      <c r="X117" s="33">
        <v>0.28000000000000003</v>
      </c>
      <c r="Y117" s="33">
        <v>0.28000000000000003</v>
      </c>
      <c r="Z117" s="33">
        <v>0.28000000000000003</v>
      </c>
      <c r="AA117" s="32">
        <f>AVERAGE(W117:Z117)</f>
        <v>0.28000000000000003</v>
      </c>
      <c r="AB117" s="33">
        <v>0.27</v>
      </c>
      <c r="AC117" s="33">
        <v>0.27</v>
      </c>
      <c r="AD117" s="33">
        <v>0.27</v>
      </c>
      <c r="AE117" s="33">
        <v>0.27</v>
      </c>
      <c r="AF117" s="32">
        <f>AVERAGE(AB117:AE117)</f>
        <v>0.27</v>
      </c>
      <c r="AG117" s="10"/>
      <c r="AH117" s="10"/>
    </row>
    <row r="118" spans="1:35" ht="14.5" x14ac:dyDescent="0.3">
      <c r="A118" s="28" t="s">
        <v>152</v>
      </c>
      <c r="B118" s="31">
        <v>0.29599999999999999</v>
      </c>
      <c r="C118" s="31">
        <v>0.29599999999999999</v>
      </c>
      <c r="D118" s="31">
        <v>0.29599999999999999</v>
      </c>
      <c r="E118" s="31">
        <v>0.29599999999999999</v>
      </c>
      <c r="F118" s="32">
        <f>AVERAGE(B118:E118)</f>
        <v>0.29599999999999999</v>
      </c>
      <c r="G118" s="31">
        <v>0.312</v>
      </c>
      <c r="H118" s="31">
        <v>0.312</v>
      </c>
      <c r="I118" s="31">
        <v>0.312</v>
      </c>
      <c r="J118" s="31">
        <v>0.312</v>
      </c>
      <c r="K118" s="32">
        <f>AVERAGE(G118:J118)</f>
        <v>0.312</v>
      </c>
      <c r="L118" s="31">
        <v>0.26100000000000001</v>
      </c>
      <c r="M118" s="31">
        <v>0.26100000000000001</v>
      </c>
      <c r="N118" s="31">
        <v>0.26100000000000001</v>
      </c>
      <c r="O118" s="31">
        <v>0.26100000000000001</v>
      </c>
      <c r="P118" s="32">
        <f>AVERAGE(L118:O118)</f>
        <v>0.26100000000000001</v>
      </c>
      <c r="Q118" s="10"/>
      <c r="R118" s="34">
        <f>CHOOSE(MATCH($B$2,{"Base","Bull","Bear"},0),R115,R116,R117)</f>
        <v>0.26</v>
      </c>
      <c r="S118" s="34">
        <f>CHOOSE(MATCH($B$2,{"Base","Bull","Bear"},0),S115,S116,S117)</f>
        <v>0.26</v>
      </c>
      <c r="T118" s="34">
        <f>CHOOSE(MATCH($B$2,{"Base","Bull","Bear"},0),T115,T116,T117)</f>
        <v>0.26</v>
      </c>
      <c r="U118" s="34">
        <f>CHOOSE(MATCH($B$2,{"Base","Bull","Bear"},0),U115,U116,U117)</f>
        <v>0.26</v>
      </c>
      <c r="V118" s="35">
        <f>AVERAGE(R118:U118)</f>
        <v>0.26</v>
      </c>
      <c r="W118" s="34">
        <f>CHOOSE(MATCH($B$2,{"Base","Bull","Bear"},0),W115,W116,W117)</f>
        <v>0.25</v>
      </c>
      <c r="X118" s="34">
        <f>CHOOSE(MATCH($B$2,{"Base","Bull","Bear"},0),X115,X116,X117)</f>
        <v>0.25</v>
      </c>
      <c r="Y118" s="34">
        <f>CHOOSE(MATCH($B$2,{"Base","Bull","Bear"},0),Y115,Y116,Y117)</f>
        <v>0.25</v>
      </c>
      <c r="Z118" s="34">
        <f>CHOOSE(MATCH($B$2,{"Base","Bull","Bear"},0),Z115,Z116,Z117)</f>
        <v>0.25</v>
      </c>
      <c r="AA118" s="35">
        <f>AVERAGE(W118:Z118)</f>
        <v>0.25</v>
      </c>
      <c r="AB118" s="34">
        <f>CHOOSE(MATCH($B$2,{"Base","Bull","Bear"},0),AB115,AB116,AB117)</f>
        <v>0.24</v>
      </c>
      <c r="AC118" s="34">
        <f>CHOOSE(MATCH($B$2,{"Base","Bull","Bear"},0),AC115,AC116,AC117)</f>
        <v>0.24</v>
      </c>
      <c r="AD118" s="34">
        <f>CHOOSE(MATCH($B$2,{"Base","Bull","Bear"},0),AD115,AD116,AD117)</f>
        <v>0.24</v>
      </c>
      <c r="AE118" s="34">
        <f>CHOOSE(MATCH($B$2,{"Base","Bull","Bear"},0),AE115,AE116,AE117)</f>
        <v>0.24</v>
      </c>
      <c r="AF118" s="35">
        <f>AVERAGE(AB118:AE118)</f>
        <v>0.24</v>
      </c>
      <c r="AG118" s="10"/>
      <c r="AH118" s="10"/>
      <c r="AI118" s="20" t="s">
        <v>192</v>
      </c>
    </row>
    <row r="120" spans="1:35" x14ac:dyDescent="0.25">
      <c r="A120" s="7" t="s">
        <v>193</v>
      </c>
    </row>
    <row r="121" spans="1:35" ht="14.5" x14ac:dyDescent="0.3">
      <c r="A121" s="24" t="s">
        <v>149</v>
      </c>
      <c r="B121" s="31">
        <v>0.104</v>
      </c>
      <c r="C121" s="31">
        <v>0.104</v>
      </c>
      <c r="D121" s="31">
        <v>0.104</v>
      </c>
      <c r="E121" s="31">
        <v>0.104</v>
      </c>
      <c r="F121" s="32">
        <f>AVERAGE(B121:E121)</f>
        <v>0.104</v>
      </c>
      <c r="G121" s="31">
        <v>0.104</v>
      </c>
      <c r="H121" s="31">
        <v>0.104</v>
      </c>
      <c r="I121" s="31">
        <v>0.104</v>
      </c>
      <c r="J121" s="31">
        <v>0.104</v>
      </c>
      <c r="K121" s="32">
        <f>AVERAGE(G121:J121)</f>
        <v>0.104</v>
      </c>
      <c r="L121" s="31">
        <v>8.6999999999999994E-2</v>
      </c>
      <c r="M121" s="31">
        <v>8.6999999999999994E-2</v>
      </c>
      <c r="N121" s="31">
        <v>8.6999999999999994E-2</v>
      </c>
      <c r="O121" s="31">
        <v>8.6999999999999994E-2</v>
      </c>
      <c r="P121" s="32">
        <f>AVERAGE(L121:O121)</f>
        <v>8.6999999999999994E-2</v>
      </c>
      <c r="Q121" s="10"/>
      <c r="R121" s="33">
        <v>0.08</v>
      </c>
      <c r="S121" s="33">
        <v>0.08</v>
      </c>
      <c r="T121" s="33">
        <v>0.08</v>
      </c>
      <c r="U121" s="33">
        <v>0.08</v>
      </c>
      <c r="V121" s="32">
        <f>AVERAGE(R121:U121)</f>
        <v>0.08</v>
      </c>
      <c r="W121" s="33">
        <v>7.4999999999999997E-2</v>
      </c>
      <c r="X121" s="33">
        <v>7.4999999999999997E-2</v>
      </c>
      <c r="Y121" s="33">
        <v>7.4999999999999997E-2</v>
      </c>
      <c r="Z121" s="33">
        <v>7.4999999999999997E-2</v>
      </c>
      <c r="AA121" s="32">
        <f>AVERAGE(W121:Z121)</f>
        <v>7.4999999999999997E-2</v>
      </c>
      <c r="AB121" s="33">
        <v>7.0000000000000007E-2</v>
      </c>
      <c r="AC121" s="33">
        <v>7.0000000000000007E-2</v>
      </c>
      <c r="AD121" s="33">
        <v>7.0000000000000007E-2</v>
      </c>
      <c r="AE121" s="33">
        <v>7.0000000000000007E-2</v>
      </c>
      <c r="AF121" s="32">
        <f>AVERAGE(AB121:AE121)</f>
        <v>7.0000000000000007E-2</v>
      </c>
      <c r="AG121" s="10"/>
      <c r="AH121" s="10"/>
    </row>
    <row r="122" spans="1:35" ht="14.5" x14ac:dyDescent="0.3">
      <c r="A122" s="24" t="s">
        <v>150</v>
      </c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33">
        <v>7.4999999999999997E-2</v>
      </c>
      <c r="S122" s="33">
        <v>7.4999999999999997E-2</v>
      </c>
      <c r="T122" s="33">
        <v>7.4999999999999997E-2</v>
      </c>
      <c r="U122" s="33">
        <v>7.4999999999999997E-2</v>
      </c>
      <c r="V122" s="32">
        <f>AVERAGE(R122:U122)</f>
        <v>7.4999999999999997E-2</v>
      </c>
      <c r="W122" s="33">
        <v>6.5000000000000002E-2</v>
      </c>
      <c r="X122" s="33">
        <v>6.5000000000000002E-2</v>
      </c>
      <c r="Y122" s="33">
        <v>6.5000000000000002E-2</v>
      </c>
      <c r="Z122" s="33">
        <v>6.5000000000000002E-2</v>
      </c>
      <c r="AA122" s="32">
        <f>AVERAGE(W122:Z122)</f>
        <v>6.5000000000000002E-2</v>
      </c>
      <c r="AB122" s="33">
        <v>0.06</v>
      </c>
      <c r="AC122" s="33">
        <v>0.06</v>
      </c>
      <c r="AD122" s="33">
        <v>0.06</v>
      </c>
      <c r="AE122" s="33">
        <v>0.06</v>
      </c>
      <c r="AF122" s="32">
        <f>AVERAGE(AB122:AE122)</f>
        <v>0.06</v>
      </c>
      <c r="AG122" s="10"/>
      <c r="AH122" s="10"/>
    </row>
    <row r="123" spans="1:35" ht="14.5" x14ac:dyDescent="0.3">
      <c r="A123" s="24" t="s">
        <v>151</v>
      </c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33">
        <v>0.09</v>
      </c>
      <c r="S123" s="33">
        <v>0.09</v>
      </c>
      <c r="T123" s="33">
        <v>0.09</v>
      </c>
      <c r="U123" s="33">
        <v>0.09</v>
      </c>
      <c r="V123" s="32">
        <f>AVERAGE(R123:U123)</f>
        <v>0.09</v>
      </c>
      <c r="W123" s="33">
        <v>0.09</v>
      </c>
      <c r="X123" s="33">
        <v>0.09</v>
      </c>
      <c r="Y123" s="33">
        <v>0.09</v>
      </c>
      <c r="Z123" s="33">
        <v>0.09</v>
      </c>
      <c r="AA123" s="32">
        <f>AVERAGE(W123:Z123)</f>
        <v>0.09</v>
      </c>
      <c r="AB123" s="33">
        <v>8.5000000000000006E-2</v>
      </c>
      <c r="AC123" s="33">
        <v>8.5000000000000006E-2</v>
      </c>
      <c r="AD123" s="33">
        <v>8.5000000000000006E-2</v>
      </c>
      <c r="AE123" s="33">
        <v>8.5000000000000006E-2</v>
      </c>
      <c r="AF123" s="32">
        <f>AVERAGE(AB123:AE123)</f>
        <v>8.5000000000000006E-2</v>
      </c>
      <c r="AG123" s="10"/>
      <c r="AH123" s="10"/>
    </row>
    <row r="124" spans="1:35" ht="14.5" x14ac:dyDescent="0.3">
      <c r="A124" s="28" t="s">
        <v>152</v>
      </c>
      <c r="B124" s="31">
        <v>0.104</v>
      </c>
      <c r="C124" s="31">
        <v>0.104</v>
      </c>
      <c r="D124" s="31">
        <v>0.104</v>
      </c>
      <c r="E124" s="31">
        <v>0.104</v>
      </c>
      <c r="F124" s="32">
        <f>AVERAGE(B124:E124)</f>
        <v>0.104</v>
      </c>
      <c r="G124" s="31">
        <v>0.104</v>
      </c>
      <c r="H124" s="31">
        <v>0.104</v>
      </c>
      <c r="I124" s="31">
        <v>0.104</v>
      </c>
      <c r="J124" s="31">
        <v>0.104</v>
      </c>
      <c r="K124" s="32">
        <f>AVERAGE(G124:J124)</f>
        <v>0.104</v>
      </c>
      <c r="L124" s="31">
        <v>8.6999999999999994E-2</v>
      </c>
      <c r="M124" s="31">
        <v>8.6999999999999994E-2</v>
      </c>
      <c r="N124" s="31">
        <v>8.6999999999999994E-2</v>
      </c>
      <c r="O124" s="31">
        <v>8.6999999999999994E-2</v>
      </c>
      <c r="P124" s="32">
        <f>AVERAGE(L124:O124)</f>
        <v>8.6999999999999994E-2</v>
      </c>
      <c r="Q124" s="10"/>
      <c r="R124" s="34">
        <f>CHOOSE(MATCH($B$2,{"Base","Bull","Bear"},0),R121,R122,R123)</f>
        <v>0.08</v>
      </c>
      <c r="S124" s="34">
        <f>CHOOSE(MATCH($B$2,{"Base","Bull","Bear"},0),S121,S122,S123)</f>
        <v>0.08</v>
      </c>
      <c r="T124" s="34">
        <f>CHOOSE(MATCH($B$2,{"Base","Bull","Bear"},0),T121,T122,T123)</f>
        <v>0.08</v>
      </c>
      <c r="U124" s="34">
        <f>CHOOSE(MATCH($B$2,{"Base","Bull","Bear"},0),U121,U122,U123)</f>
        <v>0.08</v>
      </c>
      <c r="V124" s="35">
        <f>AVERAGE(R124:U124)</f>
        <v>0.08</v>
      </c>
      <c r="W124" s="34">
        <f>CHOOSE(MATCH($B$2,{"Base","Bull","Bear"},0),W121,W122,W123)</f>
        <v>7.4999999999999997E-2</v>
      </c>
      <c r="X124" s="34">
        <f>CHOOSE(MATCH($B$2,{"Base","Bull","Bear"},0),X121,X122,X123)</f>
        <v>7.4999999999999997E-2</v>
      </c>
      <c r="Y124" s="34">
        <f>CHOOSE(MATCH($B$2,{"Base","Bull","Bear"},0),Y121,Y122,Y123)</f>
        <v>7.4999999999999997E-2</v>
      </c>
      <c r="Z124" s="34">
        <f>CHOOSE(MATCH($B$2,{"Base","Bull","Bear"},0),Z121,Z122,Z123)</f>
        <v>7.4999999999999997E-2</v>
      </c>
      <c r="AA124" s="35">
        <f>AVERAGE(W124:Z124)</f>
        <v>7.4999999999999997E-2</v>
      </c>
      <c r="AB124" s="34">
        <f>CHOOSE(MATCH($B$2,{"Base","Bull","Bear"},0),AB121,AB122,AB123)</f>
        <v>7.0000000000000007E-2</v>
      </c>
      <c r="AC124" s="34">
        <f>CHOOSE(MATCH($B$2,{"Base","Bull","Bear"},0),AC121,AC122,AC123)</f>
        <v>7.0000000000000007E-2</v>
      </c>
      <c r="AD124" s="34">
        <f>CHOOSE(MATCH($B$2,{"Base","Bull","Bear"},0),AD121,AD122,AD123)</f>
        <v>7.0000000000000007E-2</v>
      </c>
      <c r="AE124" s="34">
        <f>CHOOSE(MATCH($B$2,{"Base","Bull","Bear"},0),AE121,AE122,AE123)</f>
        <v>7.0000000000000007E-2</v>
      </c>
      <c r="AF124" s="35">
        <f>AVERAGE(AB124:AE124)</f>
        <v>7.0000000000000007E-2</v>
      </c>
      <c r="AG124" s="10"/>
      <c r="AH124" s="10"/>
      <c r="AI124" s="20" t="s">
        <v>194</v>
      </c>
    </row>
    <row r="126" spans="1:35" ht="15" x14ac:dyDescent="0.35">
      <c r="A126" s="9" t="s">
        <v>195</v>
      </c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</row>
    <row r="127" spans="1:35" x14ac:dyDescent="0.25">
      <c r="A127" s="7" t="s">
        <v>196</v>
      </c>
    </row>
    <row r="128" spans="1:35" ht="14.5" x14ac:dyDescent="0.3">
      <c r="A128" s="24" t="s">
        <v>149</v>
      </c>
      <c r="F128" s="41">
        <v>7847</v>
      </c>
      <c r="K128" s="41">
        <v>9951</v>
      </c>
      <c r="P128" s="41">
        <v>10757</v>
      </c>
      <c r="Q128" s="10"/>
      <c r="V128" s="43">
        <v>12500</v>
      </c>
      <c r="AA128" s="43">
        <v>13200</v>
      </c>
      <c r="AF128" s="43">
        <v>13800</v>
      </c>
      <c r="AG128" s="10"/>
      <c r="AH128" s="10"/>
    </row>
    <row r="129" spans="1:35" ht="14.5" x14ac:dyDescent="0.3">
      <c r="A129" s="24" t="s">
        <v>150</v>
      </c>
      <c r="F129" s="10"/>
      <c r="K129" s="10"/>
      <c r="P129" s="10"/>
      <c r="Q129" s="10"/>
      <c r="V129" s="43">
        <v>12000</v>
      </c>
      <c r="AA129" s="43">
        <v>12500</v>
      </c>
      <c r="AF129" s="43">
        <v>12800</v>
      </c>
      <c r="AG129" s="10"/>
      <c r="AH129" s="10"/>
    </row>
    <row r="130" spans="1:35" ht="14.5" x14ac:dyDescent="0.3">
      <c r="A130" s="24" t="s">
        <v>151</v>
      </c>
      <c r="F130" s="10"/>
      <c r="K130" s="10"/>
      <c r="P130" s="10"/>
      <c r="Q130" s="10"/>
      <c r="V130" s="43">
        <v>13000</v>
      </c>
      <c r="AA130" s="43">
        <v>14000</v>
      </c>
      <c r="AF130" s="43">
        <v>15000</v>
      </c>
      <c r="AG130" s="10"/>
      <c r="AH130" s="10"/>
    </row>
    <row r="131" spans="1:35" ht="14.5" x14ac:dyDescent="0.3">
      <c r="A131" s="28" t="s">
        <v>152</v>
      </c>
      <c r="F131" s="41">
        <v>7847</v>
      </c>
      <c r="K131" s="41">
        <v>9951</v>
      </c>
      <c r="P131" s="41">
        <v>10757</v>
      </c>
      <c r="Q131" s="10"/>
      <c r="V131" s="13">
        <f>CHOOSE(MATCH($B$2,{"Base","Bull","Bear"},0),V128,V129,V130)</f>
        <v>12500</v>
      </c>
      <c r="AA131" s="13">
        <f>CHOOSE(MATCH($B$2,{"Base","Bull","Bear"},0),AA128,AA129,AA130)</f>
        <v>13200</v>
      </c>
      <c r="AF131" s="13">
        <f>CHOOSE(MATCH($B$2,{"Base","Bull","Bear"},0),AF128,AF129,AF130)</f>
        <v>13800</v>
      </c>
      <c r="AG131" s="10"/>
      <c r="AH131" s="10"/>
      <c r="AI131" s="20" t="s">
        <v>197</v>
      </c>
    </row>
    <row r="133" spans="1:35" x14ac:dyDescent="0.25">
      <c r="A133" s="7" t="s">
        <v>198</v>
      </c>
    </row>
    <row r="134" spans="1:35" ht="14.5" x14ac:dyDescent="0.3">
      <c r="A134" s="24" t="s">
        <v>149</v>
      </c>
      <c r="F134" s="41">
        <v>3229</v>
      </c>
      <c r="K134" s="41">
        <v>3410</v>
      </c>
      <c r="P134" s="41">
        <v>2434</v>
      </c>
      <c r="Q134" s="10"/>
      <c r="V134" s="43">
        <v>2500</v>
      </c>
      <c r="AA134" s="43">
        <v>2500</v>
      </c>
      <c r="AF134" s="43">
        <v>2500</v>
      </c>
      <c r="AG134" s="10"/>
      <c r="AH134" s="10"/>
    </row>
    <row r="135" spans="1:35" ht="14.5" x14ac:dyDescent="0.3">
      <c r="A135" s="24" t="s">
        <v>150</v>
      </c>
      <c r="F135" s="10"/>
      <c r="K135" s="10"/>
      <c r="P135" s="10"/>
      <c r="Q135" s="10"/>
      <c r="V135" s="43">
        <v>2500</v>
      </c>
      <c r="AA135" s="43">
        <v>2500</v>
      </c>
      <c r="AF135" s="43">
        <v>2500</v>
      </c>
      <c r="AG135" s="10"/>
      <c r="AH135" s="10"/>
    </row>
    <row r="136" spans="1:35" ht="14.5" x14ac:dyDescent="0.3">
      <c r="A136" s="24" t="s">
        <v>151</v>
      </c>
      <c r="F136" s="10"/>
      <c r="K136" s="10"/>
      <c r="P136" s="10"/>
      <c r="Q136" s="10"/>
      <c r="V136" s="43">
        <v>2500</v>
      </c>
      <c r="AA136" s="43">
        <v>2500</v>
      </c>
      <c r="AF136" s="43">
        <v>2500</v>
      </c>
      <c r="AG136" s="10"/>
      <c r="AH136" s="10"/>
    </row>
    <row r="137" spans="1:35" ht="14.5" x14ac:dyDescent="0.3">
      <c r="A137" s="28" t="s">
        <v>152</v>
      </c>
      <c r="F137" s="41">
        <v>3229</v>
      </c>
      <c r="K137" s="41">
        <v>3410</v>
      </c>
      <c r="P137" s="41">
        <v>2434</v>
      </c>
      <c r="Q137" s="10"/>
      <c r="V137" s="13">
        <f>CHOOSE(MATCH($B$2,{"Base","Bull","Bear"},0),V134,V135,V136)</f>
        <v>2500</v>
      </c>
      <c r="AA137" s="13">
        <f>CHOOSE(MATCH($B$2,{"Base","Bull","Bear"},0),AA134,AA135,AA136)</f>
        <v>2500</v>
      </c>
      <c r="AF137" s="13">
        <f>CHOOSE(MATCH($B$2,{"Base","Bull","Bear"},0),AF134,AF135,AF136)</f>
        <v>2500</v>
      </c>
      <c r="AG137" s="10"/>
      <c r="AH137" s="10"/>
      <c r="AI137" s="20" t="s">
        <v>199</v>
      </c>
    </row>
    <row r="139" spans="1:35" x14ac:dyDescent="0.25">
      <c r="A139" s="7" t="s">
        <v>200</v>
      </c>
    </row>
    <row r="140" spans="1:35" ht="14.5" x14ac:dyDescent="0.3">
      <c r="A140" s="24" t="s">
        <v>149</v>
      </c>
      <c r="F140" s="41">
        <v>-62</v>
      </c>
      <c r="K140" s="41">
        <v>6970</v>
      </c>
      <c r="P140" s="41">
        <v>2191</v>
      </c>
      <c r="Q140" s="10"/>
      <c r="V140" s="43">
        <v>500</v>
      </c>
      <c r="AA140" s="43">
        <v>500</v>
      </c>
      <c r="AF140" s="43">
        <v>500</v>
      </c>
      <c r="AG140" s="10"/>
      <c r="AH140" s="10"/>
    </row>
    <row r="141" spans="1:35" ht="14.5" x14ac:dyDescent="0.3">
      <c r="A141" s="24" t="s">
        <v>150</v>
      </c>
      <c r="F141" s="10"/>
      <c r="K141" s="10"/>
      <c r="P141" s="10"/>
      <c r="Q141" s="10"/>
      <c r="V141" s="43">
        <v>500</v>
      </c>
      <c r="AA141" s="43">
        <v>500</v>
      </c>
      <c r="AF141" s="43">
        <v>500</v>
      </c>
      <c r="AG141" s="10"/>
      <c r="AH141" s="10"/>
    </row>
    <row r="142" spans="1:35" ht="14.5" x14ac:dyDescent="0.3">
      <c r="A142" s="24" t="s">
        <v>151</v>
      </c>
      <c r="F142" s="10"/>
      <c r="K142" s="10"/>
      <c r="P142" s="10"/>
      <c r="Q142" s="10"/>
      <c r="V142" s="43">
        <v>500</v>
      </c>
      <c r="AA142" s="43">
        <v>500</v>
      </c>
      <c r="AF142" s="43">
        <v>500</v>
      </c>
      <c r="AG142" s="10"/>
      <c r="AH142" s="10"/>
    </row>
    <row r="143" spans="1:35" ht="14.5" x14ac:dyDescent="0.3">
      <c r="A143" s="28" t="s">
        <v>152</v>
      </c>
      <c r="F143" s="41">
        <v>-62</v>
      </c>
      <c r="K143" s="41">
        <v>6970</v>
      </c>
      <c r="P143" s="41">
        <v>2191</v>
      </c>
      <c r="Q143" s="10"/>
      <c r="V143" s="13">
        <f>CHOOSE(MATCH($B$2,{"Base","Bull","Bear"},0),V140,V141,V142)</f>
        <v>500</v>
      </c>
      <c r="AA143" s="13">
        <f>CHOOSE(MATCH($B$2,{"Base","Bull","Bear"},0),AA140,AA141,AA142)</f>
        <v>500</v>
      </c>
      <c r="AF143" s="13">
        <f>CHOOSE(MATCH($B$2,{"Base","Bull","Bear"},0),AF140,AF141,AF142)</f>
        <v>500</v>
      </c>
      <c r="AG143" s="10"/>
      <c r="AH143" s="10"/>
      <c r="AI143" s="20" t="s">
        <v>201</v>
      </c>
    </row>
    <row r="145" spans="1:35" x14ac:dyDescent="0.25">
      <c r="A145" s="7" t="s">
        <v>202</v>
      </c>
    </row>
    <row r="146" spans="1:35" ht="14.5" x14ac:dyDescent="0.3">
      <c r="A146" s="24" t="s">
        <v>149</v>
      </c>
      <c r="F146" s="41">
        <v>25750</v>
      </c>
      <c r="K146" s="41">
        <v>25122</v>
      </c>
      <c r="P146" s="41">
        <v>17672</v>
      </c>
      <c r="Q146" s="10"/>
      <c r="V146" s="43">
        <v>17700</v>
      </c>
      <c r="AA146" s="43">
        <v>19500</v>
      </c>
      <c r="AF146" s="43">
        <v>21000</v>
      </c>
      <c r="AG146" s="10"/>
      <c r="AH146" s="10"/>
    </row>
    <row r="147" spans="1:35" ht="14.5" x14ac:dyDescent="0.3">
      <c r="A147" s="24" t="s">
        <v>150</v>
      </c>
      <c r="F147" s="10"/>
      <c r="K147" s="10"/>
      <c r="P147" s="10"/>
      <c r="Q147" s="10"/>
      <c r="V147" s="43">
        <v>17500</v>
      </c>
      <c r="AA147" s="43">
        <v>22000</v>
      </c>
      <c r="AF147" s="43">
        <v>25000</v>
      </c>
      <c r="AG147" s="10"/>
      <c r="AH147" s="10"/>
    </row>
    <row r="148" spans="1:35" ht="14.5" x14ac:dyDescent="0.3">
      <c r="A148" s="24" t="s">
        <v>151</v>
      </c>
      <c r="F148" s="10"/>
      <c r="K148" s="10"/>
      <c r="P148" s="10"/>
      <c r="Q148" s="10"/>
      <c r="V148" s="43">
        <v>18000</v>
      </c>
      <c r="AA148" s="43">
        <v>17000</v>
      </c>
      <c r="AF148" s="43">
        <v>16000</v>
      </c>
      <c r="AG148" s="10"/>
      <c r="AH148" s="10"/>
    </row>
    <row r="149" spans="1:35" ht="14.5" x14ac:dyDescent="0.3">
      <c r="A149" s="28" t="s">
        <v>152</v>
      </c>
      <c r="F149" s="41">
        <v>25750</v>
      </c>
      <c r="K149" s="41">
        <v>25122</v>
      </c>
      <c r="P149" s="41">
        <v>17672</v>
      </c>
      <c r="Q149" s="10"/>
      <c r="V149" s="13">
        <f>CHOOSE(MATCH($B$2,{"Base","Bull","Bear"},0),V146,V147,V148)</f>
        <v>17700</v>
      </c>
      <c r="AA149" s="13">
        <f>CHOOSE(MATCH($B$2,{"Base","Bull","Bear"},0),AA146,AA147,AA148)</f>
        <v>19500</v>
      </c>
      <c r="AF149" s="13">
        <f>CHOOSE(MATCH($B$2,{"Base","Bull","Bear"},0),AF146,AF147,AF148)</f>
        <v>21000</v>
      </c>
      <c r="AG149" s="10"/>
      <c r="AH149" s="10"/>
      <c r="AI149" s="20" t="s">
        <v>203</v>
      </c>
    </row>
    <row r="151" spans="1:35" x14ac:dyDescent="0.25">
      <c r="A151" s="7" t="s">
        <v>204</v>
      </c>
    </row>
    <row r="152" spans="1:35" ht="14.5" x14ac:dyDescent="0.3">
      <c r="A152" s="24" t="s">
        <v>149</v>
      </c>
      <c r="F152" s="25">
        <v>22.9</v>
      </c>
      <c r="K152" s="25">
        <v>23.9</v>
      </c>
      <c r="P152" s="25">
        <v>26.5</v>
      </c>
      <c r="Q152" s="10"/>
      <c r="V152" s="27">
        <v>25</v>
      </c>
      <c r="AA152" s="27">
        <v>25</v>
      </c>
      <c r="AF152" s="27">
        <v>25</v>
      </c>
      <c r="AG152" s="10"/>
      <c r="AH152" s="10"/>
    </row>
    <row r="153" spans="1:35" ht="14.5" x14ac:dyDescent="0.3">
      <c r="A153" s="24" t="s">
        <v>150</v>
      </c>
      <c r="F153" s="10"/>
      <c r="K153" s="10"/>
      <c r="P153" s="10"/>
      <c r="Q153" s="10"/>
      <c r="V153" s="27">
        <v>25</v>
      </c>
      <c r="AA153" s="27">
        <v>25</v>
      </c>
      <c r="AF153" s="27">
        <v>25</v>
      </c>
      <c r="AG153" s="10"/>
      <c r="AH153" s="10"/>
    </row>
    <row r="154" spans="1:35" ht="14.5" x14ac:dyDescent="0.3">
      <c r="A154" s="24" t="s">
        <v>151</v>
      </c>
      <c r="F154" s="10"/>
      <c r="K154" s="10"/>
      <c r="P154" s="10"/>
      <c r="Q154" s="10"/>
      <c r="V154" s="27">
        <v>25</v>
      </c>
      <c r="AA154" s="27">
        <v>25</v>
      </c>
      <c r="AF154" s="27">
        <v>25</v>
      </c>
      <c r="AG154" s="10"/>
      <c r="AH154" s="10"/>
    </row>
    <row r="155" spans="1:35" ht="14.5" x14ac:dyDescent="0.3">
      <c r="A155" s="28" t="s">
        <v>152</v>
      </c>
      <c r="F155" s="25">
        <v>22.9</v>
      </c>
      <c r="K155" s="25">
        <v>23.9</v>
      </c>
      <c r="P155" s="25">
        <v>26.5</v>
      </c>
      <c r="Q155" s="10"/>
      <c r="V155" s="46">
        <f>CHOOSE(MATCH($B$2,{"Base","Bull","Bear"},0),V152,V153,V154)</f>
        <v>25</v>
      </c>
      <c r="AA155" s="46">
        <f>CHOOSE(MATCH($B$2,{"Base","Bull","Bear"},0),AA152,AA153,AA154)</f>
        <v>25</v>
      </c>
      <c r="AF155" s="46">
        <f>CHOOSE(MATCH($B$2,{"Base","Bull","Bear"},0),AF152,AF153,AF154)</f>
        <v>25</v>
      </c>
      <c r="AG155" s="10"/>
      <c r="AH155" s="10"/>
      <c r="AI155" s="20" t="s">
        <v>205</v>
      </c>
    </row>
    <row r="157" spans="1:35" x14ac:dyDescent="0.25">
      <c r="A157" s="7" t="s">
        <v>206</v>
      </c>
    </row>
    <row r="158" spans="1:35" ht="14.5" x14ac:dyDescent="0.3">
      <c r="A158" s="24" t="s">
        <v>149</v>
      </c>
      <c r="F158" s="25">
        <v>96.3</v>
      </c>
      <c r="K158" s="25">
        <v>128.19999999999999</v>
      </c>
      <c r="P158" s="25">
        <v>104.6</v>
      </c>
      <c r="Q158" s="10"/>
      <c r="V158" s="27">
        <v>100</v>
      </c>
      <c r="AA158" s="27">
        <v>100</v>
      </c>
      <c r="AF158" s="27">
        <v>100</v>
      </c>
      <c r="AG158" s="10"/>
      <c r="AH158" s="10"/>
    </row>
    <row r="159" spans="1:35" ht="14.5" x14ac:dyDescent="0.3">
      <c r="A159" s="24" t="s">
        <v>150</v>
      </c>
      <c r="F159" s="10"/>
      <c r="K159" s="10"/>
      <c r="P159" s="10"/>
      <c r="Q159" s="10"/>
      <c r="V159" s="27">
        <v>100</v>
      </c>
      <c r="AA159" s="27">
        <v>100</v>
      </c>
      <c r="AF159" s="27">
        <v>100</v>
      </c>
      <c r="AG159" s="10"/>
      <c r="AH159" s="10"/>
    </row>
    <row r="160" spans="1:35" ht="14.5" x14ac:dyDescent="0.3">
      <c r="A160" s="24" t="s">
        <v>151</v>
      </c>
      <c r="F160" s="10"/>
      <c r="K160" s="10"/>
      <c r="P160" s="10"/>
      <c r="Q160" s="10"/>
      <c r="V160" s="27">
        <v>100</v>
      </c>
      <c r="AA160" s="27">
        <v>100</v>
      </c>
      <c r="AF160" s="27">
        <v>100</v>
      </c>
      <c r="AG160" s="10"/>
      <c r="AH160" s="10"/>
    </row>
    <row r="161" spans="1:35" ht="14.5" x14ac:dyDescent="0.3">
      <c r="A161" s="28" t="s">
        <v>152</v>
      </c>
      <c r="F161" s="25">
        <v>96.3</v>
      </c>
      <c r="K161" s="25">
        <v>128.19999999999999</v>
      </c>
      <c r="P161" s="25">
        <v>104.6</v>
      </c>
      <c r="Q161" s="10"/>
      <c r="V161" s="46">
        <f>CHOOSE(MATCH($B$2,{"Base","Bull","Bear"},0),V158,V159,V160)</f>
        <v>100</v>
      </c>
      <c r="AA161" s="46">
        <f>CHOOSE(MATCH($B$2,{"Base","Bull","Bear"},0),AA158,AA159,AA160)</f>
        <v>100</v>
      </c>
      <c r="AF161" s="46">
        <f>CHOOSE(MATCH($B$2,{"Base","Bull","Bear"},0),AF158,AF159,AF160)</f>
        <v>100</v>
      </c>
      <c r="AG161" s="10"/>
      <c r="AH161" s="10"/>
      <c r="AI161" s="20" t="s">
        <v>207</v>
      </c>
    </row>
    <row r="163" spans="1:35" x14ac:dyDescent="0.25">
      <c r="A163" s="7" t="s">
        <v>208</v>
      </c>
    </row>
    <row r="164" spans="1:35" ht="14.5" x14ac:dyDescent="0.3">
      <c r="A164" s="24" t="s">
        <v>149</v>
      </c>
      <c r="F164" s="25">
        <v>124.9</v>
      </c>
      <c r="K164" s="25">
        <v>124.5</v>
      </c>
      <c r="P164" s="25">
        <v>123</v>
      </c>
      <c r="Q164" s="10"/>
      <c r="V164" s="27">
        <v>125</v>
      </c>
      <c r="AA164" s="27">
        <v>125</v>
      </c>
      <c r="AF164" s="27">
        <v>125</v>
      </c>
      <c r="AG164" s="10"/>
      <c r="AH164" s="10"/>
    </row>
    <row r="165" spans="1:35" ht="14.5" x14ac:dyDescent="0.3">
      <c r="A165" s="24" t="s">
        <v>150</v>
      </c>
      <c r="F165" s="10"/>
      <c r="K165" s="10"/>
      <c r="P165" s="10"/>
      <c r="Q165" s="10"/>
      <c r="V165" s="27">
        <v>125</v>
      </c>
      <c r="AA165" s="27">
        <v>125</v>
      </c>
      <c r="AF165" s="27">
        <v>125</v>
      </c>
      <c r="AG165" s="10"/>
      <c r="AH165" s="10"/>
    </row>
    <row r="166" spans="1:35" ht="14.5" x14ac:dyDescent="0.3">
      <c r="A166" s="24" t="s">
        <v>151</v>
      </c>
      <c r="F166" s="10"/>
      <c r="K166" s="10"/>
      <c r="P166" s="10"/>
      <c r="Q166" s="10"/>
      <c r="V166" s="27">
        <v>125</v>
      </c>
      <c r="AA166" s="27">
        <v>125</v>
      </c>
      <c r="AF166" s="27">
        <v>125</v>
      </c>
      <c r="AG166" s="10"/>
      <c r="AH166" s="10"/>
    </row>
    <row r="167" spans="1:35" ht="14.5" x14ac:dyDescent="0.3">
      <c r="A167" s="28" t="s">
        <v>152</v>
      </c>
      <c r="F167" s="25">
        <v>124.9</v>
      </c>
      <c r="K167" s="25">
        <v>124.5</v>
      </c>
      <c r="P167" s="25">
        <v>123</v>
      </c>
      <c r="Q167" s="10"/>
      <c r="V167" s="46">
        <f>CHOOSE(MATCH($B$2,{"Base","Bull","Bear"},0),V164,V165,V166)</f>
        <v>125</v>
      </c>
      <c r="AA167" s="46">
        <f>CHOOSE(MATCH($B$2,{"Base","Bull","Bear"},0),AA164,AA165,AA166)</f>
        <v>125</v>
      </c>
      <c r="AF167" s="46">
        <f>CHOOSE(MATCH($B$2,{"Base","Bull","Bear"},0),AF164,AF165,AF166)</f>
        <v>125</v>
      </c>
      <c r="AG167" s="10"/>
      <c r="AH167" s="10"/>
      <c r="AI167" s="20" t="s">
        <v>209</v>
      </c>
    </row>
    <row r="169" spans="1:35" x14ac:dyDescent="0.25">
      <c r="A169" s="7" t="s">
        <v>210</v>
      </c>
    </row>
    <row r="170" spans="1:35" ht="14.5" x14ac:dyDescent="0.3">
      <c r="A170" s="24" t="s">
        <v>149</v>
      </c>
      <c r="F170" s="31">
        <v>6.7000000000000004E-2</v>
      </c>
      <c r="K170" s="31">
        <v>6.3E-2</v>
      </c>
      <c r="P170" s="31">
        <v>7.5999999999999998E-2</v>
      </c>
      <c r="Q170" s="10"/>
      <c r="V170" s="33">
        <v>7.0000000000000007E-2</v>
      </c>
      <c r="AA170" s="33">
        <v>7.0000000000000007E-2</v>
      </c>
      <c r="AF170" s="33">
        <v>7.0000000000000007E-2</v>
      </c>
      <c r="AG170" s="10"/>
      <c r="AH170" s="10"/>
    </row>
    <row r="171" spans="1:35" ht="14.5" x14ac:dyDescent="0.3">
      <c r="A171" s="24" t="s">
        <v>150</v>
      </c>
      <c r="F171" s="10"/>
      <c r="K171" s="10"/>
      <c r="P171" s="10"/>
      <c r="Q171" s="10"/>
      <c r="V171" s="33">
        <v>7.0000000000000007E-2</v>
      </c>
      <c r="AA171" s="33">
        <v>7.0000000000000007E-2</v>
      </c>
      <c r="AF171" s="33">
        <v>7.0000000000000007E-2</v>
      </c>
      <c r="AG171" s="10"/>
      <c r="AH171" s="10"/>
    </row>
    <row r="172" spans="1:35" ht="14.5" x14ac:dyDescent="0.3">
      <c r="A172" s="24" t="s">
        <v>151</v>
      </c>
      <c r="F172" s="10"/>
      <c r="K172" s="10"/>
      <c r="P172" s="10"/>
      <c r="Q172" s="10"/>
      <c r="V172" s="33">
        <v>7.0000000000000007E-2</v>
      </c>
      <c r="AA172" s="33">
        <v>7.0000000000000007E-2</v>
      </c>
      <c r="AF172" s="33">
        <v>7.0000000000000007E-2</v>
      </c>
      <c r="AG172" s="10"/>
      <c r="AH172" s="10"/>
    </row>
    <row r="173" spans="1:35" ht="14.5" x14ac:dyDescent="0.3">
      <c r="A173" s="28" t="s">
        <v>152</v>
      </c>
      <c r="F173" s="31">
        <v>6.7000000000000004E-2</v>
      </c>
      <c r="K173" s="31">
        <v>6.3E-2</v>
      </c>
      <c r="P173" s="31">
        <v>7.5999999999999998E-2</v>
      </c>
      <c r="Q173" s="10"/>
      <c r="V173" s="15">
        <f>CHOOSE(MATCH($B$2,{"Base","Bull","Bear"},0),V170,V171,V172)</f>
        <v>7.0000000000000007E-2</v>
      </c>
      <c r="AA173" s="15">
        <f>CHOOSE(MATCH($B$2,{"Base","Bull","Bear"},0),AA170,AA171,AA172)</f>
        <v>7.0000000000000007E-2</v>
      </c>
      <c r="AF173" s="15">
        <f>CHOOSE(MATCH($B$2,{"Base","Bull","Bear"},0),AF170,AF171,AF172)</f>
        <v>7.0000000000000007E-2</v>
      </c>
      <c r="AG173" s="10"/>
      <c r="AH173" s="10"/>
      <c r="AI173" s="20" t="s">
        <v>211</v>
      </c>
    </row>
    <row r="175" spans="1:35" x14ac:dyDescent="0.25">
      <c r="A175" s="7" t="s">
        <v>212</v>
      </c>
    </row>
    <row r="176" spans="1:35" ht="14.5" x14ac:dyDescent="0.3">
      <c r="A176" s="24" t="s">
        <v>149</v>
      </c>
      <c r="F176" s="10"/>
      <c r="K176" s="10"/>
      <c r="P176" s="10"/>
      <c r="Q176" s="10"/>
      <c r="V176" s="33">
        <v>0.15</v>
      </c>
      <c r="AA176" s="33">
        <v>0.15</v>
      </c>
      <c r="AF176" s="33">
        <v>0.15</v>
      </c>
      <c r="AG176" s="10"/>
      <c r="AH176" s="10"/>
    </row>
    <row r="177" spans="1:35" ht="14.5" x14ac:dyDescent="0.3">
      <c r="A177" s="24" t="s">
        <v>150</v>
      </c>
      <c r="F177" s="10"/>
      <c r="K177" s="10"/>
      <c r="P177" s="10"/>
      <c r="Q177" s="10"/>
      <c r="V177" s="33">
        <v>0.15</v>
      </c>
      <c r="AA177" s="33">
        <v>0.15</v>
      </c>
      <c r="AF177" s="33">
        <v>0.15</v>
      </c>
      <c r="AG177" s="10"/>
      <c r="AH177" s="10"/>
    </row>
    <row r="178" spans="1:35" ht="14.5" x14ac:dyDescent="0.3">
      <c r="A178" s="24" t="s">
        <v>151</v>
      </c>
      <c r="F178" s="10"/>
      <c r="K178" s="10"/>
      <c r="P178" s="10"/>
      <c r="Q178" s="10"/>
      <c r="V178" s="33">
        <v>0.15</v>
      </c>
      <c r="AA178" s="33">
        <v>0.15</v>
      </c>
      <c r="AF178" s="33">
        <v>0.15</v>
      </c>
      <c r="AG178" s="10"/>
      <c r="AH178" s="10"/>
    </row>
    <row r="179" spans="1:35" ht="14.5" x14ac:dyDescent="0.3">
      <c r="A179" s="28" t="s">
        <v>152</v>
      </c>
      <c r="F179" s="10"/>
      <c r="K179" s="10"/>
      <c r="P179" s="10"/>
      <c r="Q179" s="10"/>
      <c r="V179" s="15">
        <f>CHOOSE(MATCH($B$2,{"Base","Bull","Bear"},0),V176,V177,V178)</f>
        <v>0.15</v>
      </c>
      <c r="AA179" s="15">
        <f>CHOOSE(MATCH($B$2,{"Base","Bull","Bear"},0),AA176,AA177,AA178)</f>
        <v>0.15</v>
      </c>
      <c r="AF179" s="15">
        <f>CHOOSE(MATCH($B$2,{"Base","Bull","Bear"},0),AF176,AF177,AF178)</f>
        <v>0.15</v>
      </c>
      <c r="AG179" s="10"/>
      <c r="AH179" s="10"/>
      <c r="AI179" s="20" t="s">
        <v>213</v>
      </c>
    </row>
    <row r="181" spans="1:35" x14ac:dyDescent="0.25">
      <c r="A181" s="7" t="s">
        <v>214</v>
      </c>
    </row>
    <row r="182" spans="1:35" ht="14.5" x14ac:dyDescent="0.3">
      <c r="A182" s="24" t="s">
        <v>149</v>
      </c>
      <c r="F182" s="10"/>
      <c r="K182" s="10"/>
      <c r="P182" s="10"/>
      <c r="Q182" s="10"/>
      <c r="V182" s="33">
        <v>0.25</v>
      </c>
      <c r="AA182" s="33">
        <v>0.25</v>
      </c>
      <c r="AF182" s="33">
        <v>0.25</v>
      </c>
      <c r="AG182" s="10"/>
      <c r="AH182" s="10"/>
    </row>
    <row r="183" spans="1:35" ht="14.5" x14ac:dyDescent="0.3">
      <c r="A183" s="24" t="s">
        <v>150</v>
      </c>
      <c r="F183" s="10"/>
      <c r="K183" s="10"/>
      <c r="P183" s="10"/>
      <c r="Q183" s="10"/>
      <c r="V183" s="33">
        <v>0.25</v>
      </c>
      <c r="AA183" s="33">
        <v>0.25</v>
      </c>
      <c r="AF183" s="33">
        <v>0.25</v>
      </c>
      <c r="AG183" s="10"/>
      <c r="AH183" s="10"/>
    </row>
    <row r="184" spans="1:35" ht="14.5" x14ac:dyDescent="0.3">
      <c r="A184" s="24" t="s">
        <v>151</v>
      </c>
      <c r="F184" s="10"/>
      <c r="K184" s="10"/>
      <c r="P184" s="10"/>
      <c r="Q184" s="10"/>
      <c r="V184" s="33">
        <v>0.25</v>
      </c>
      <c r="AA184" s="33">
        <v>0.25</v>
      </c>
      <c r="AF184" s="33">
        <v>0.25</v>
      </c>
      <c r="AG184" s="10"/>
      <c r="AH184" s="10"/>
    </row>
    <row r="185" spans="1:35" ht="14.5" x14ac:dyDescent="0.3">
      <c r="A185" s="28" t="s">
        <v>152</v>
      </c>
      <c r="F185" s="10"/>
      <c r="K185" s="10"/>
      <c r="P185" s="10"/>
      <c r="Q185" s="10"/>
      <c r="V185" s="15">
        <f>CHOOSE(MATCH($B$2,{"Base","Bull","Bear"},0),V182,V183,V184)</f>
        <v>0.25</v>
      </c>
      <c r="AA185" s="15">
        <f>CHOOSE(MATCH($B$2,{"Base","Bull","Bear"},0),AA182,AA183,AA184)</f>
        <v>0.25</v>
      </c>
      <c r="AF185" s="15">
        <f>CHOOSE(MATCH($B$2,{"Base","Bull","Bear"},0),AF182,AF183,AF184)</f>
        <v>0.25</v>
      </c>
      <c r="AG185" s="10"/>
      <c r="AH185" s="10"/>
      <c r="AI185" s="20" t="s">
        <v>215</v>
      </c>
    </row>
    <row r="187" spans="1:35" x14ac:dyDescent="0.25">
      <c r="A187" s="7" t="s">
        <v>216</v>
      </c>
    </row>
    <row r="188" spans="1:35" ht="14.5" x14ac:dyDescent="0.3">
      <c r="A188" s="24" t="s">
        <v>149</v>
      </c>
      <c r="F188" s="10"/>
      <c r="K188" s="10"/>
      <c r="P188" s="10"/>
      <c r="Q188" s="10"/>
      <c r="V188" s="33">
        <v>0.02</v>
      </c>
      <c r="AA188" s="33">
        <v>0.02</v>
      </c>
      <c r="AF188" s="33">
        <v>0.02</v>
      </c>
      <c r="AG188" s="10"/>
      <c r="AH188" s="10"/>
    </row>
    <row r="189" spans="1:35" ht="14.5" x14ac:dyDescent="0.3">
      <c r="A189" s="24" t="s">
        <v>150</v>
      </c>
      <c r="F189" s="10"/>
      <c r="K189" s="10"/>
      <c r="P189" s="10"/>
      <c r="Q189" s="10"/>
      <c r="V189" s="33">
        <v>0.02</v>
      </c>
      <c r="AA189" s="33">
        <v>0.02</v>
      </c>
      <c r="AF189" s="33">
        <v>0.02</v>
      </c>
      <c r="AG189" s="10"/>
      <c r="AH189" s="10"/>
    </row>
    <row r="190" spans="1:35" ht="14.5" x14ac:dyDescent="0.3">
      <c r="A190" s="24" t="s">
        <v>151</v>
      </c>
      <c r="F190" s="10"/>
      <c r="K190" s="10"/>
      <c r="P190" s="10"/>
      <c r="Q190" s="10"/>
      <c r="V190" s="33">
        <v>0.02</v>
      </c>
      <c r="AA190" s="33">
        <v>0.02</v>
      </c>
      <c r="AF190" s="33">
        <v>0.02</v>
      </c>
      <c r="AG190" s="10"/>
      <c r="AH190" s="10"/>
    </row>
    <row r="191" spans="1:35" ht="14.5" x14ac:dyDescent="0.3">
      <c r="A191" s="28" t="s">
        <v>152</v>
      </c>
      <c r="F191" s="10"/>
      <c r="K191" s="10"/>
      <c r="P191" s="10"/>
      <c r="Q191" s="10"/>
      <c r="V191" s="15">
        <f>CHOOSE(MATCH($B$2,{"Base","Bull","Bear"},0),V188,V189,V190)</f>
        <v>0.02</v>
      </c>
      <c r="AA191" s="15">
        <f>CHOOSE(MATCH($B$2,{"Base","Bull","Bear"},0),AA188,AA189,AA190)</f>
        <v>0.02</v>
      </c>
      <c r="AF191" s="15">
        <f>CHOOSE(MATCH($B$2,{"Base","Bull","Bear"},0),AF188,AF189,AF190)</f>
        <v>0.02</v>
      </c>
      <c r="AG191" s="10"/>
      <c r="AH191" s="10"/>
      <c r="AI191" s="20" t="s">
        <v>217</v>
      </c>
    </row>
    <row r="193" spans="1:35" x14ac:dyDescent="0.25">
      <c r="A193" s="7" t="s">
        <v>218</v>
      </c>
    </row>
    <row r="194" spans="1:35" ht="14.5" x14ac:dyDescent="0.3">
      <c r="A194" s="24" t="s">
        <v>149</v>
      </c>
      <c r="F194" s="41">
        <v>49266</v>
      </c>
      <c r="K194" s="41">
        <v>50011</v>
      </c>
      <c r="P194" s="41">
        <v>46585</v>
      </c>
      <c r="Q194" s="10"/>
      <c r="V194" s="43">
        <v>49500</v>
      </c>
      <c r="AA194" s="43">
        <v>47200</v>
      </c>
      <c r="AF194" s="43">
        <v>46000</v>
      </c>
      <c r="AG194" s="10"/>
      <c r="AH194" s="10"/>
    </row>
    <row r="195" spans="1:35" ht="14.5" x14ac:dyDescent="0.3">
      <c r="A195" s="24" t="s">
        <v>150</v>
      </c>
      <c r="F195" s="10"/>
      <c r="K195" s="10"/>
      <c r="P195" s="10"/>
      <c r="Q195" s="10"/>
      <c r="V195" s="43">
        <v>47000</v>
      </c>
      <c r="AA195" s="43">
        <v>43000</v>
      </c>
      <c r="AF195" s="43">
        <v>39000</v>
      </c>
      <c r="AG195" s="10"/>
      <c r="AH195" s="10"/>
    </row>
    <row r="196" spans="1:35" ht="14.5" x14ac:dyDescent="0.3">
      <c r="A196" s="24" t="s">
        <v>151</v>
      </c>
      <c r="F196" s="10"/>
      <c r="K196" s="10"/>
      <c r="P196" s="10"/>
      <c r="Q196" s="10"/>
      <c r="V196" s="43">
        <v>52000</v>
      </c>
      <c r="AA196" s="43">
        <v>54000</v>
      </c>
      <c r="AF196" s="43">
        <v>55000</v>
      </c>
      <c r="AG196" s="10"/>
      <c r="AH196" s="10"/>
    </row>
    <row r="197" spans="1:35" ht="14.5" x14ac:dyDescent="0.3">
      <c r="A197" s="28" t="s">
        <v>152</v>
      </c>
      <c r="F197" s="41">
        <v>49266</v>
      </c>
      <c r="K197" s="41">
        <v>50011</v>
      </c>
      <c r="P197" s="41">
        <v>46585</v>
      </c>
      <c r="Q197" s="10"/>
      <c r="V197" s="13">
        <f>CHOOSE(MATCH($B$2,{"Base","Bull","Bear"},0),V194,V195,V196)</f>
        <v>49500</v>
      </c>
      <c r="AA197" s="13">
        <f>CHOOSE(MATCH($B$2,{"Base","Bull","Bear"},0),AA194,AA195,AA196)</f>
        <v>47200</v>
      </c>
      <c r="AF197" s="13">
        <f>CHOOSE(MATCH($B$2,{"Base","Bull","Bear"},0),AF194,AF195,AF196)</f>
        <v>46000</v>
      </c>
      <c r="AG197" s="10"/>
      <c r="AH197" s="10"/>
      <c r="AI197" s="20" t="s">
        <v>219</v>
      </c>
    </row>
    <row r="199" spans="1:35" x14ac:dyDescent="0.25">
      <c r="A199" s="7" t="s">
        <v>220</v>
      </c>
    </row>
    <row r="200" spans="1:35" ht="14.5" x14ac:dyDescent="0.3">
      <c r="A200" s="24" t="s">
        <v>149</v>
      </c>
      <c r="F200" s="41">
        <v>4228</v>
      </c>
      <c r="K200" s="41">
        <v>4330</v>
      </c>
      <c r="P200" s="41">
        <v>4994</v>
      </c>
      <c r="Q200" s="10"/>
      <c r="V200" s="43">
        <v>5100</v>
      </c>
      <c r="AA200" s="43">
        <v>5180</v>
      </c>
      <c r="AF200" s="43">
        <v>5250</v>
      </c>
      <c r="AG200" s="10"/>
      <c r="AH200" s="10"/>
    </row>
    <row r="201" spans="1:35" ht="14.5" x14ac:dyDescent="0.3">
      <c r="A201" s="24" t="s">
        <v>150</v>
      </c>
      <c r="F201" s="10"/>
      <c r="K201" s="10"/>
      <c r="P201" s="10"/>
      <c r="Q201" s="10"/>
      <c r="V201" s="43">
        <v>5080</v>
      </c>
      <c r="AA201" s="43">
        <v>5120</v>
      </c>
      <c r="AF201" s="43">
        <v>5150</v>
      </c>
      <c r="AG201" s="10"/>
      <c r="AH201" s="10"/>
    </row>
    <row r="202" spans="1:35" ht="14.5" x14ac:dyDescent="0.3">
      <c r="A202" s="24" t="s">
        <v>151</v>
      </c>
      <c r="F202" s="10"/>
      <c r="K202" s="10"/>
      <c r="P202" s="10"/>
      <c r="Q202" s="10"/>
      <c r="V202" s="43">
        <v>5200</v>
      </c>
      <c r="AA202" s="43">
        <v>5400</v>
      </c>
      <c r="AF202" s="43">
        <v>5600</v>
      </c>
      <c r="AG202" s="10"/>
      <c r="AH202" s="10"/>
    </row>
    <row r="203" spans="1:35" ht="14.5" x14ac:dyDescent="0.3">
      <c r="A203" s="28" t="s">
        <v>152</v>
      </c>
      <c r="F203" s="41">
        <v>4228</v>
      </c>
      <c r="K203" s="41">
        <v>4330</v>
      </c>
      <c r="P203" s="41">
        <v>4994</v>
      </c>
      <c r="Q203" s="10"/>
      <c r="V203" s="13">
        <f>CHOOSE(MATCH($B$2,{"Base","Bull","Bear"},0),V200,V201,V202)</f>
        <v>5100</v>
      </c>
      <c r="AA203" s="13">
        <f>CHOOSE(MATCH($B$2,{"Base","Bull","Bear"},0),AA200,AA201,AA202)</f>
        <v>5180</v>
      </c>
      <c r="AF203" s="13">
        <f>CHOOSE(MATCH($B$2,{"Base","Bull","Bear"},0),AF200,AF201,AF202)</f>
        <v>5250</v>
      </c>
      <c r="AG203" s="10"/>
      <c r="AH203" s="10"/>
      <c r="AI203" s="20" t="s">
        <v>221</v>
      </c>
    </row>
    <row r="205" spans="1:35" x14ac:dyDescent="0.25">
      <c r="A205" s="7" t="s">
        <v>222</v>
      </c>
    </row>
    <row r="206" spans="1:35" ht="14.5" x14ac:dyDescent="0.3">
      <c r="A206" s="24" t="s">
        <v>149</v>
      </c>
      <c r="F206" s="47">
        <v>0.74</v>
      </c>
      <c r="K206" s="47">
        <v>0.38</v>
      </c>
      <c r="P206" s="47">
        <v>0</v>
      </c>
      <c r="Q206" s="10"/>
      <c r="V206" s="48">
        <v>0</v>
      </c>
      <c r="AA206" s="48">
        <v>0</v>
      </c>
      <c r="AF206" s="48">
        <v>0</v>
      </c>
      <c r="AG206" s="10"/>
      <c r="AH206" s="10"/>
    </row>
    <row r="207" spans="1:35" ht="14.5" x14ac:dyDescent="0.3">
      <c r="A207" s="24" t="s">
        <v>150</v>
      </c>
      <c r="F207" s="10"/>
      <c r="K207" s="10"/>
      <c r="P207" s="10"/>
      <c r="Q207" s="10"/>
      <c r="V207" s="48">
        <v>0</v>
      </c>
      <c r="AA207" s="48">
        <v>0</v>
      </c>
      <c r="AF207" s="48">
        <v>0</v>
      </c>
      <c r="AG207" s="10"/>
      <c r="AH207" s="10"/>
    </row>
    <row r="208" spans="1:35" ht="14.5" x14ac:dyDescent="0.3">
      <c r="A208" s="24" t="s">
        <v>151</v>
      </c>
      <c r="F208" s="10"/>
      <c r="K208" s="10"/>
      <c r="P208" s="10"/>
      <c r="Q208" s="10"/>
      <c r="V208" s="48">
        <v>0</v>
      </c>
      <c r="AA208" s="48">
        <v>0</v>
      </c>
      <c r="AF208" s="48">
        <v>0</v>
      </c>
      <c r="AG208" s="10"/>
      <c r="AH208" s="10"/>
    </row>
    <row r="209" spans="1:35" ht="14.5" x14ac:dyDescent="0.3">
      <c r="A209" s="28" t="s">
        <v>152</v>
      </c>
      <c r="F209" s="47">
        <v>0.74</v>
      </c>
      <c r="K209" s="47">
        <v>0.38</v>
      </c>
      <c r="P209" s="47">
        <v>0</v>
      </c>
      <c r="Q209" s="10"/>
      <c r="V209" s="16">
        <f>CHOOSE(MATCH($B$2,{"Base","Bull","Bear"},0),V206,V207,V208)</f>
        <v>0</v>
      </c>
      <c r="AA209" s="16">
        <f>CHOOSE(MATCH($B$2,{"Base","Bull","Bear"},0),AA206,AA207,AA208)</f>
        <v>0</v>
      </c>
      <c r="AF209" s="16">
        <f>CHOOSE(MATCH($B$2,{"Base","Bull","Bear"},0),AF206,AF207,AF208)</f>
        <v>0</v>
      </c>
      <c r="AG209" s="10"/>
      <c r="AH209" s="10"/>
      <c r="AI209" s="20" t="s">
        <v>223</v>
      </c>
    </row>
    <row r="211" spans="1:35" x14ac:dyDescent="0.25">
      <c r="A211" s="7" t="s">
        <v>224</v>
      </c>
    </row>
    <row r="212" spans="1:35" ht="14.5" x14ac:dyDescent="0.3">
      <c r="A212" s="24" t="s">
        <v>149</v>
      </c>
      <c r="F212" s="10"/>
      <c r="K212" s="10"/>
      <c r="P212" s="10"/>
      <c r="Q212" s="10"/>
      <c r="V212" s="43">
        <v>300</v>
      </c>
      <c r="AA212" s="43">
        <v>300</v>
      </c>
      <c r="AF212" s="43">
        <v>300</v>
      </c>
      <c r="AG212" s="10"/>
      <c r="AH212" s="10"/>
    </row>
    <row r="213" spans="1:35" ht="14.5" x14ac:dyDescent="0.3">
      <c r="A213" s="24" t="s">
        <v>150</v>
      </c>
      <c r="F213" s="10"/>
      <c r="K213" s="10"/>
      <c r="P213" s="10"/>
      <c r="Q213" s="10"/>
      <c r="V213" s="43">
        <v>300</v>
      </c>
      <c r="AA213" s="43">
        <v>300</v>
      </c>
      <c r="AF213" s="43">
        <v>300</v>
      </c>
      <c r="AG213" s="10"/>
      <c r="AH213" s="10"/>
    </row>
    <row r="214" spans="1:35" ht="14.5" x14ac:dyDescent="0.3">
      <c r="A214" s="24" t="s">
        <v>151</v>
      </c>
      <c r="F214" s="10"/>
      <c r="K214" s="10"/>
      <c r="P214" s="10"/>
      <c r="Q214" s="10"/>
      <c r="V214" s="43">
        <v>300</v>
      </c>
      <c r="AA214" s="43">
        <v>300</v>
      </c>
      <c r="AF214" s="43">
        <v>300</v>
      </c>
      <c r="AG214" s="10"/>
      <c r="AH214" s="10"/>
    </row>
    <row r="215" spans="1:35" ht="14.5" x14ac:dyDescent="0.3">
      <c r="A215" s="28" t="s">
        <v>152</v>
      </c>
      <c r="F215" s="10"/>
      <c r="K215" s="10"/>
      <c r="P215" s="10"/>
      <c r="Q215" s="10"/>
      <c r="V215" s="13">
        <f>CHOOSE(MATCH($B$2,{"Base","Bull","Bear"},0),V212,V213,V214)</f>
        <v>300</v>
      </c>
      <c r="AA215" s="13">
        <f>CHOOSE(MATCH($B$2,{"Base","Bull","Bear"},0),AA212,AA213,AA214)</f>
        <v>300</v>
      </c>
      <c r="AF215" s="13">
        <f>CHOOSE(MATCH($B$2,{"Base","Bull","Bear"},0),AF212,AF213,AF214)</f>
        <v>300</v>
      </c>
      <c r="AG215" s="10"/>
      <c r="AH215" s="10"/>
      <c r="AI215" s="20" t="s">
        <v>225</v>
      </c>
    </row>
    <row r="217" spans="1:35" x14ac:dyDescent="0.25">
      <c r="A217" s="7" t="s">
        <v>226</v>
      </c>
    </row>
    <row r="218" spans="1:35" ht="14.5" x14ac:dyDescent="0.3">
      <c r="A218" s="24" t="s">
        <v>149</v>
      </c>
      <c r="F218" s="31">
        <v>-1.198</v>
      </c>
      <c r="K218" s="31">
        <v>-0.71599999999999997</v>
      </c>
      <c r="P218" s="31">
        <v>0.98299999999999998</v>
      </c>
      <c r="Q218" s="10"/>
      <c r="V218" s="33">
        <v>0.12</v>
      </c>
      <c r="AA218" s="33">
        <v>0.13</v>
      </c>
      <c r="AF218" s="33">
        <v>0.13</v>
      </c>
      <c r="AG218" s="10"/>
      <c r="AH218" s="10"/>
    </row>
    <row r="219" spans="1:35" ht="14.5" x14ac:dyDescent="0.3">
      <c r="A219" s="24" t="s">
        <v>150</v>
      </c>
      <c r="F219" s="10"/>
      <c r="K219" s="10"/>
      <c r="P219" s="10"/>
      <c r="Q219" s="10"/>
      <c r="V219" s="33">
        <v>0.11</v>
      </c>
      <c r="AA219" s="33">
        <v>0.12</v>
      </c>
      <c r="AF219" s="33">
        <v>0.12</v>
      </c>
      <c r="AG219" s="10"/>
      <c r="AH219" s="10"/>
    </row>
    <row r="220" spans="1:35" ht="14.5" x14ac:dyDescent="0.3">
      <c r="A220" s="24" t="s">
        <v>151</v>
      </c>
      <c r="F220" s="10"/>
      <c r="K220" s="10"/>
      <c r="P220" s="10"/>
      <c r="Q220" s="10"/>
      <c r="V220" s="33">
        <v>0.15</v>
      </c>
      <c r="AA220" s="33">
        <v>0.15</v>
      </c>
      <c r="AF220" s="33">
        <v>0.15</v>
      </c>
      <c r="AG220" s="10"/>
      <c r="AH220" s="10"/>
    </row>
    <row r="221" spans="1:35" ht="14.5" x14ac:dyDescent="0.3">
      <c r="A221" s="28" t="s">
        <v>152</v>
      </c>
      <c r="F221" s="31">
        <v>-1.198</v>
      </c>
      <c r="K221" s="31">
        <v>-0.71599999999999997</v>
      </c>
      <c r="P221" s="31">
        <v>0.98299999999999998</v>
      </c>
      <c r="Q221" s="10"/>
      <c r="V221" s="15">
        <f>CHOOSE(MATCH($B$2,{"Base","Bull","Bear"},0),V218,V219,V220)</f>
        <v>0.12</v>
      </c>
      <c r="AA221" s="15">
        <f>CHOOSE(MATCH($B$2,{"Base","Bull","Bear"},0),AA218,AA219,AA220)</f>
        <v>0.13</v>
      </c>
      <c r="AF221" s="15">
        <f>CHOOSE(MATCH($B$2,{"Base","Bull","Bear"},0),AF218,AF219,AF220)</f>
        <v>0.13</v>
      </c>
      <c r="AG221" s="10"/>
      <c r="AH221" s="10"/>
      <c r="AI221" s="20" t="s">
        <v>227</v>
      </c>
    </row>
    <row r="223" spans="1:35" x14ac:dyDescent="0.25">
      <c r="A223" s="7" t="s">
        <v>228</v>
      </c>
    </row>
    <row r="224" spans="1:35" ht="14.5" x14ac:dyDescent="0.3">
      <c r="A224" s="24" t="s">
        <v>149</v>
      </c>
      <c r="F224" s="41">
        <v>629</v>
      </c>
      <c r="K224" s="41">
        <v>226</v>
      </c>
      <c r="P224" s="41">
        <v>3257</v>
      </c>
      <c r="Q224" s="10"/>
      <c r="V224" s="43">
        <v>-800</v>
      </c>
      <c r="AA224" s="43">
        <v>-600</v>
      </c>
      <c r="AF224" s="43">
        <v>-400</v>
      </c>
      <c r="AG224" s="10"/>
      <c r="AH224" s="10"/>
    </row>
    <row r="225" spans="1:35" ht="14.5" x14ac:dyDescent="0.3">
      <c r="A225" s="24" t="s">
        <v>150</v>
      </c>
      <c r="F225" s="10"/>
      <c r="K225" s="10"/>
      <c r="P225" s="10"/>
      <c r="Q225" s="10"/>
      <c r="V225" s="43">
        <v>-500</v>
      </c>
      <c r="AA225" s="43">
        <v>-300</v>
      </c>
      <c r="AF225" s="43">
        <v>-100</v>
      </c>
      <c r="AG225" s="10"/>
      <c r="AH225" s="10"/>
    </row>
    <row r="226" spans="1:35" ht="14.5" x14ac:dyDescent="0.3">
      <c r="A226" s="24" t="s">
        <v>151</v>
      </c>
      <c r="F226" s="10"/>
      <c r="K226" s="10"/>
      <c r="P226" s="10"/>
      <c r="Q226" s="10"/>
      <c r="V226" s="43">
        <v>-1200</v>
      </c>
      <c r="AA226" s="43">
        <v>-1200</v>
      </c>
      <c r="AF226" s="43">
        <v>-1000</v>
      </c>
      <c r="AG226" s="10"/>
      <c r="AH226" s="10"/>
    </row>
    <row r="227" spans="1:35" ht="14.5" x14ac:dyDescent="0.3">
      <c r="A227" s="28" t="s">
        <v>152</v>
      </c>
      <c r="F227" s="41">
        <v>629</v>
      </c>
      <c r="K227" s="41">
        <v>226</v>
      </c>
      <c r="P227" s="41">
        <v>3257</v>
      </c>
      <c r="Q227" s="10"/>
      <c r="V227" s="13">
        <f>CHOOSE(MATCH($B$2,{"Base","Bull","Bear"},0),V224,V225,V226)</f>
        <v>-800</v>
      </c>
      <c r="AA227" s="13">
        <f>CHOOSE(MATCH($B$2,{"Base","Bull","Bear"},0),AA224,AA225,AA226)</f>
        <v>-600</v>
      </c>
      <c r="AF227" s="13">
        <f>CHOOSE(MATCH($B$2,{"Base","Bull","Bear"},0),AF224,AF225,AF226)</f>
        <v>-400</v>
      </c>
      <c r="AG227" s="10"/>
      <c r="AH227" s="10"/>
      <c r="AI227" s="20" t="s">
        <v>229</v>
      </c>
    </row>
    <row r="229" spans="1:35" x14ac:dyDescent="0.25">
      <c r="A229" s="7" t="s">
        <v>230</v>
      </c>
    </row>
    <row r="230" spans="1:35" ht="14.5" x14ac:dyDescent="0.3">
      <c r="A230" s="24" t="s">
        <v>149</v>
      </c>
      <c r="F230" s="41">
        <v>293</v>
      </c>
      <c r="K230" s="41">
        <v>293</v>
      </c>
      <c r="P230" s="41">
        <v>293</v>
      </c>
      <c r="Q230" s="10"/>
      <c r="V230" s="43">
        <v>750</v>
      </c>
      <c r="AA230" s="43">
        <v>1100</v>
      </c>
      <c r="AF230" s="43">
        <v>1100</v>
      </c>
      <c r="AG230" s="10"/>
      <c r="AH230" s="10"/>
    </row>
    <row r="231" spans="1:35" ht="14.5" x14ac:dyDescent="0.3">
      <c r="A231" s="24" t="s">
        <v>150</v>
      </c>
      <c r="F231" s="10"/>
      <c r="K231" s="10"/>
      <c r="P231" s="10"/>
      <c r="Q231" s="10"/>
      <c r="V231" s="43">
        <v>750</v>
      </c>
      <c r="AA231" s="43">
        <v>1100</v>
      </c>
      <c r="AF231" s="43">
        <v>1100</v>
      </c>
      <c r="AG231" s="10"/>
      <c r="AH231" s="10"/>
    </row>
    <row r="232" spans="1:35" ht="14.5" x14ac:dyDescent="0.3">
      <c r="A232" s="24" t="s">
        <v>151</v>
      </c>
      <c r="F232" s="10"/>
      <c r="K232" s="10"/>
      <c r="P232" s="10"/>
      <c r="Q232" s="10"/>
      <c r="V232" s="43">
        <v>750</v>
      </c>
      <c r="AA232" s="43">
        <v>1100</v>
      </c>
      <c r="AF232" s="43">
        <v>1100</v>
      </c>
      <c r="AG232" s="10"/>
      <c r="AH232" s="10"/>
    </row>
    <row r="233" spans="1:35" ht="14.5" x14ac:dyDescent="0.3">
      <c r="A233" s="28" t="s">
        <v>152</v>
      </c>
      <c r="F233" s="41">
        <v>293</v>
      </c>
      <c r="K233" s="41">
        <v>293</v>
      </c>
      <c r="P233" s="41">
        <v>293</v>
      </c>
      <c r="Q233" s="10"/>
      <c r="V233" s="13">
        <f>CHOOSE(MATCH($B$2,{"Base","Bull","Bear"},0),V230,V231,V232)</f>
        <v>750</v>
      </c>
      <c r="AA233" s="13">
        <f>CHOOSE(MATCH($B$2,{"Base","Bull","Bear"},0),AA230,AA231,AA232)</f>
        <v>1100</v>
      </c>
      <c r="AF233" s="13">
        <f>CHOOSE(MATCH($B$2,{"Base","Bull","Bear"},0),AF230,AF231,AF232)</f>
        <v>1100</v>
      </c>
      <c r="AG233" s="10"/>
      <c r="AH233" s="10"/>
      <c r="AI233" s="20" t="s">
        <v>231</v>
      </c>
    </row>
    <row r="235" spans="1:35" x14ac:dyDescent="0.25">
      <c r="A235" s="7" t="s">
        <v>232</v>
      </c>
    </row>
    <row r="236" spans="1:35" ht="14.5" x14ac:dyDescent="0.3">
      <c r="A236" s="24" t="s">
        <v>149</v>
      </c>
      <c r="F236" s="41">
        <v>-5199</v>
      </c>
      <c r="K236" s="41">
        <v>-11177</v>
      </c>
      <c r="P236" s="41">
        <v>-5518</v>
      </c>
      <c r="Q236" s="10"/>
      <c r="V236" s="43">
        <v>-5000</v>
      </c>
      <c r="AA236" s="43">
        <v>-4500</v>
      </c>
      <c r="AF236" s="43">
        <v>-4000</v>
      </c>
      <c r="AG236" s="10"/>
      <c r="AH236" s="10"/>
    </row>
    <row r="237" spans="1:35" ht="14.5" x14ac:dyDescent="0.3">
      <c r="A237" s="24" t="s">
        <v>150</v>
      </c>
      <c r="F237" s="10"/>
      <c r="K237" s="10"/>
      <c r="P237" s="10"/>
      <c r="Q237" s="10"/>
      <c r="V237" s="43">
        <v>-5000</v>
      </c>
      <c r="AA237" s="43">
        <v>-4500</v>
      </c>
      <c r="AF237" s="43">
        <v>-4000</v>
      </c>
      <c r="AG237" s="10"/>
      <c r="AH237" s="10"/>
    </row>
    <row r="238" spans="1:35" ht="14.5" x14ac:dyDescent="0.3">
      <c r="A238" s="24" t="s">
        <v>151</v>
      </c>
      <c r="F238" s="10"/>
      <c r="K238" s="10"/>
      <c r="P238" s="10"/>
      <c r="Q238" s="10"/>
      <c r="V238" s="43">
        <v>-5000</v>
      </c>
      <c r="AA238" s="43">
        <v>-4500</v>
      </c>
      <c r="AF238" s="43">
        <v>-4000</v>
      </c>
      <c r="AG238" s="10"/>
      <c r="AH238" s="10"/>
    </row>
    <row r="239" spans="1:35" ht="14.5" x14ac:dyDescent="0.3">
      <c r="A239" s="28" t="s">
        <v>152</v>
      </c>
      <c r="F239" s="41">
        <v>-5199</v>
      </c>
      <c r="K239" s="41">
        <v>-11177</v>
      </c>
      <c r="P239" s="41">
        <v>-5518</v>
      </c>
      <c r="Q239" s="10"/>
      <c r="V239" s="13">
        <f>CHOOSE(MATCH($B$2,{"Base","Bull","Bear"},0),V236,V237,V238)</f>
        <v>-5000</v>
      </c>
      <c r="AA239" s="13">
        <f>CHOOSE(MATCH($B$2,{"Base","Bull","Bear"},0),AA236,AA237,AA238)</f>
        <v>-4500</v>
      </c>
      <c r="AF239" s="13">
        <f>CHOOSE(MATCH($B$2,{"Base","Bull","Bear"},0),AF236,AF237,AF238)</f>
        <v>-4000</v>
      </c>
      <c r="AG239" s="10"/>
      <c r="AH239" s="10"/>
      <c r="AI239" s="20" t="s">
        <v>233</v>
      </c>
    </row>
    <row r="241" spans="1:35" x14ac:dyDescent="0.25">
      <c r="A241" s="7" t="s">
        <v>234</v>
      </c>
    </row>
    <row r="242" spans="1:35" ht="14.5" x14ac:dyDescent="0.3">
      <c r="A242" s="24" t="s">
        <v>149</v>
      </c>
      <c r="F242" s="41">
        <v>-205</v>
      </c>
      <c r="K242" s="41">
        <v>-161</v>
      </c>
      <c r="P242" s="41">
        <v>619</v>
      </c>
      <c r="Q242" s="10"/>
      <c r="V242" s="43">
        <v>-200</v>
      </c>
      <c r="AA242" s="43">
        <v>-200</v>
      </c>
      <c r="AF242" s="43">
        <v>-200</v>
      </c>
      <c r="AG242" s="10"/>
      <c r="AH242" s="10"/>
    </row>
    <row r="243" spans="1:35" ht="14.5" x14ac:dyDescent="0.3">
      <c r="A243" s="24" t="s">
        <v>150</v>
      </c>
      <c r="F243" s="10"/>
      <c r="K243" s="10"/>
      <c r="P243" s="10"/>
      <c r="Q243" s="10"/>
      <c r="V243" s="43">
        <v>-200</v>
      </c>
      <c r="AA243" s="43">
        <v>-200</v>
      </c>
      <c r="AF243" s="43">
        <v>-200</v>
      </c>
      <c r="AG243" s="10"/>
      <c r="AH243" s="10"/>
    </row>
    <row r="244" spans="1:35" ht="14.5" x14ac:dyDescent="0.3">
      <c r="A244" s="24" t="s">
        <v>151</v>
      </c>
      <c r="F244" s="10"/>
      <c r="K244" s="10"/>
      <c r="P244" s="10"/>
      <c r="Q244" s="10"/>
      <c r="V244" s="43">
        <v>-200</v>
      </c>
      <c r="AA244" s="43">
        <v>-200</v>
      </c>
      <c r="AF244" s="43">
        <v>-200</v>
      </c>
      <c r="AG244" s="10"/>
      <c r="AH244" s="10"/>
    </row>
    <row r="245" spans="1:35" ht="14.5" x14ac:dyDescent="0.3">
      <c r="A245" s="28" t="s">
        <v>152</v>
      </c>
      <c r="F245" s="41">
        <v>-205</v>
      </c>
      <c r="K245" s="41">
        <v>-161</v>
      </c>
      <c r="P245" s="41">
        <v>619</v>
      </c>
      <c r="Q245" s="10"/>
      <c r="V245" s="13">
        <f>CHOOSE(MATCH($B$2,{"Base","Bull","Bear"},0),V242,V243,V244)</f>
        <v>-200</v>
      </c>
      <c r="AA245" s="13">
        <f>CHOOSE(MATCH($B$2,{"Base","Bull","Bear"},0),AA242,AA243,AA244)</f>
        <v>-200</v>
      </c>
      <c r="AF245" s="13">
        <f>CHOOSE(MATCH($B$2,{"Base","Bull","Bear"},0),AF242,AF243,AF244)</f>
        <v>-200</v>
      </c>
      <c r="AG245" s="10"/>
      <c r="AH245" s="10"/>
      <c r="AI245" s="20" t="s">
        <v>235</v>
      </c>
    </row>
    <row r="249" spans="1:35" x14ac:dyDescent="0.25">
      <c r="A249" s="7" t="s">
        <v>101</v>
      </c>
    </row>
    <row r="250" spans="1:35" ht="14.5" x14ac:dyDescent="0.3">
      <c r="A250" s="76" t="s">
        <v>102</v>
      </c>
      <c r="B250" s="69"/>
      <c r="C250" s="69"/>
      <c r="D250" s="69"/>
      <c r="E250" s="69"/>
      <c r="F250" s="69"/>
    </row>
    <row r="251" spans="1:35" ht="14.5" x14ac:dyDescent="0.3">
      <c r="A251" s="80" t="s">
        <v>103</v>
      </c>
      <c r="B251" s="69"/>
      <c r="C251" s="69"/>
      <c r="D251" s="69"/>
      <c r="E251" s="69"/>
      <c r="F251" s="69"/>
    </row>
    <row r="252" spans="1:35" ht="14.5" x14ac:dyDescent="0.3">
      <c r="A252" s="79" t="s">
        <v>104</v>
      </c>
      <c r="B252" s="69"/>
      <c r="C252" s="69"/>
      <c r="D252" s="69"/>
      <c r="E252" s="69"/>
      <c r="F252" s="69"/>
    </row>
    <row r="253" spans="1:35" ht="14.5" x14ac:dyDescent="0.3">
      <c r="A253" s="77" t="s">
        <v>105</v>
      </c>
      <c r="B253" s="69"/>
      <c r="C253" s="69"/>
      <c r="D253" s="69"/>
      <c r="E253" s="69"/>
      <c r="F253" s="69"/>
    </row>
    <row r="254" spans="1:35" ht="14.5" x14ac:dyDescent="0.3">
      <c r="A254" s="77" t="s">
        <v>106</v>
      </c>
      <c r="B254" s="69"/>
      <c r="C254" s="69"/>
      <c r="D254" s="69"/>
      <c r="E254" s="69"/>
      <c r="F254" s="69"/>
    </row>
    <row r="255" spans="1:35" x14ac:dyDescent="0.25">
      <c r="A255" s="69" t="s">
        <v>107</v>
      </c>
      <c r="B255" s="69"/>
      <c r="C255" s="69"/>
      <c r="D255" s="69"/>
      <c r="E255" s="69"/>
      <c r="F255" s="69"/>
    </row>
    <row r="257" spans="1:6" x14ac:dyDescent="0.25">
      <c r="A257" s="7" t="s">
        <v>108</v>
      </c>
    </row>
    <row r="258" spans="1:6" ht="14.5" x14ac:dyDescent="0.3">
      <c r="A258" s="74" t="s">
        <v>109</v>
      </c>
      <c r="B258" s="69"/>
      <c r="C258" s="69"/>
      <c r="D258" s="69"/>
      <c r="E258" s="69"/>
      <c r="F258" s="69"/>
    </row>
    <row r="259" spans="1:6" ht="14.5" x14ac:dyDescent="0.3">
      <c r="A259" s="74" t="s">
        <v>110</v>
      </c>
      <c r="B259" s="69"/>
      <c r="C259" s="69"/>
      <c r="D259" s="69"/>
      <c r="E259" s="69"/>
      <c r="F259" s="69"/>
    </row>
    <row r="260" spans="1:6" ht="14.5" x14ac:dyDescent="0.3">
      <c r="A260" s="74" t="s">
        <v>111</v>
      </c>
      <c r="B260" s="69"/>
      <c r="C260" s="69"/>
      <c r="D260" s="69"/>
      <c r="E260" s="69"/>
      <c r="F260" s="69"/>
    </row>
    <row r="261" spans="1:6" ht="14.5" x14ac:dyDescent="0.3">
      <c r="A261" s="74" t="s">
        <v>112</v>
      </c>
      <c r="B261" s="69"/>
      <c r="C261" s="69"/>
      <c r="D261" s="69"/>
      <c r="E261" s="69"/>
      <c r="F261" s="69"/>
    </row>
    <row r="262" spans="1:6" ht="14.5" x14ac:dyDescent="0.3">
      <c r="A262" s="74" t="s">
        <v>113</v>
      </c>
      <c r="B262" s="69"/>
      <c r="C262" s="69"/>
      <c r="D262" s="69"/>
      <c r="E262" s="69"/>
      <c r="F262" s="69"/>
    </row>
  </sheetData>
  <mergeCells count="12">
    <mergeCell ref="A250:F250"/>
    <mergeCell ref="A1:AH1"/>
    <mergeCell ref="A262:F262"/>
    <mergeCell ref="A253:F253"/>
    <mergeCell ref="A261:F261"/>
    <mergeCell ref="A252:F252"/>
    <mergeCell ref="A251:F251"/>
    <mergeCell ref="A260:F260"/>
    <mergeCell ref="A255:F255"/>
    <mergeCell ref="A259:F259"/>
    <mergeCell ref="A254:F254"/>
    <mergeCell ref="A258:F258"/>
  </mergeCells>
  <phoneticPr fontId="26" type="noConversion"/>
  <dataValidations count="1">
    <dataValidation type="list" errorTitle="Invalid Scenario" error="Please select Base, Bull, or Bear" promptTitle="Scenario" prompt="Select scenario" sqref="B2">
      <formula1>"Base,Bull,Bear"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AI78"/>
  <sheetViews>
    <sheetView zoomScale="53" workbookViewId="0">
      <selection sqref="A1:AH1"/>
    </sheetView>
  </sheetViews>
  <sheetFormatPr defaultRowHeight="14" x14ac:dyDescent="0.25"/>
  <cols>
    <col min="1" max="1" width="44" customWidth="1"/>
    <col min="2" max="5" width="12" customWidth="1"/>
    <col min="6" max="6" width="15" customWidth="1"/>
    <col min="7" max="10" width="12" customWidth="1"/>
    <col min="11" max="11" width="15" customWidth="1"/>
    <col min="12" max="15" width="12" customWidth="1"/>
    <col min="16" max="16" width="15" customWidth="1"/>
    <col min="17" max="17" width="2" customWidth="1"/>
    <col min="18" max="21" width="12" customWidth="1"/>
    <col min="22" max="22" width="15" customWidth="1"/>
    <col min="23" max="26" width="12" customWidth="1"/>
    <col min="27" max="27" width="15" customWidth="1"/>
    <col min="28" max="31" width="12" customWidth="1"/>
    <col min="32" max="32" width="15" customWidth="1"/>
    <col min="33" max="33" width="12" customWidth="1"/>
    <col min="34" max="34" width="2" customWidth="1"/>
    <col min="35" max="35" width="55" customWidth="1"/>
  </cols>
  <sheetData>
    <row r="1" spans="1:35" ht="18.5" x14ac:dyDescent="0.45">
      <c r="A1" s="78" t="s">
        <v>236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</row>
    <row r="2" spans="1:35" ht="14.5" x14ac:dyDescent="0.3">
      <c r="A2" s="75" t="s">
        <v>237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</row>
    <row r="3" spans="1:35" x14ac:dyDescent="0.25">
      <c r="A3" s="11"/>
      <c r="B3" s="12" t="s">
        <v>117</v>
      </c>
      <c r="C3" s="12" t="s">
        <v>118</v>
      </c>
      <c r="D3" s="12" t="s">
        <v>119</v>
      </c>
      <c r="E3" s="12" t="s">
        <v>120</v>
      </c>
      <c r="F3" s="23" t="s">
        <v>121</v>
      </c>
      <c r="G3" s="12" t="s">
        <v>122</v>
      </c>
      <c r="H3" s="12" t="s">
        <v>123</v>
      </c>
      <c r="I3" s="12" t="s">
        <v>124</v>
      </c>
      <c r="J3" s="12" t="s">
        <v>125</v>
      </c>
      <c r="K3" s="23" t="s">
        <v>126</v>
      </c>
      <c r="L3" s="12" t="s">
        <v>127</v>
      </c>
      <c r="M3" s="12" t="s">
        <v>128</v>
      </c>
      <c r="N3" s="12" t="s">
        <v>129</v>
      </c>
      <c r="O3" s="12" t="s">
        <v>130</v>
      </c>
      <c r="P3" s="23" t="s">
        <v>131</v>
      </c>
      <c r="Q3" s="11"/>
      <c r="R3" s="12" t="s">
        <v>132</v>
      </c>
      <c r="S3" s="12" t="s">
        <v>133</v>
      </c>
      <c r="T3" s="12" t="s">
        <v>134</v>
      </c>
      <c r="U3" s="12" t="s">
        <v>135</v>
      </c>
      <c r="V3" s="23" t="s">
        <v>136</v>
      </c>
      <c r="W3" s="12" t="s">
        <v>137</v>
      </c>
      <c r="X3" s="12" t="s">
        <v>138</v>
      </c>
      <c r="Y3" s="12" t="s">
        <v>139</v>
      </c>
      <c r="Z3" s="12" t="s">
        <v>140</v>
      </c>
      <c r="AA3" s="23" t="s">
        <v>141</v>
      </c>
      <c r="AB3" s="12" t="s">
        <v>142</v>
      </c>
      <c r="AC3" s="12" t="s">
        <v>143</v>
      </c>
      <c r="AD3" s="12" t="s">
        <v>144</v>
      </c>
      <c r="AE3" s="12" t="s">
        <v>145</v>
      </c>
      <c r="AF3" s="23" t="s">
        <v>146</v>
      </c>
      <c r="AG3" s="12" t="s">
        <v>238</v>
      </c>
      <c r="AH3" s="11"/>
      <c r="AI3" s="12" t="s">
        <v>52</v>
      </c>
    </row>
    <row r="4" spans="1:35" ht="39" x14ac:dyDescent="0.25">
      <c r="A4" s="7" t="s">
        <v>239</v>
      </c>
      <c r="AI4" s="20" t="s">
        <v>240</v>
      </c>
    </row>
    <row r="5" spans="1:35" ht="15" x14ac:dyDescent="0.35">
      <c r="A5" s="9" t="s">
        <v>241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</row>
    <row r="6" spans="1:35" ht="26" x14ac:dyDescent="0.25">
      <c r="A6" s="7" t="s">
        <v>242</v>
      </c>
      <c r="AI6" s="20" t="s">
        <v>243</v>
      </c>
    </row>
    <row r="7" spans="1:35" x14ac:dyDescent="0.25">
      <c r="A7" s="7" t="s">
        <v>244</v>
      </c>
      <c r="B7" s="25">
        <v>60.45</v>
      </c>
      <c r="C7" s="25">
        <v>60.45</v>
      </c>
      <c r="D7" s="25">
        <v>60.45</v>
      </c>
      <c r="E7" s="25">
        <v>60.45</v>
      </c>
      <c r="F7" s="25">
        <v>241.8</v>
      </c>
      <c r="G7" s="25">
        <v>61.35</v>
      </c>
      <c r="H7" s="25">
        <v>61.35</v>
      </c>
      <c r="I7" s="25">
        <v>61.35</v>
      </c>
      <c r="J7" s="25">
        <v>61.35</v>
      </c>
      <c r="K7" s="25">
        <v>245.4</v>
      </c>
      <c r="L7" s="25">
        <v>64.650000000000006</v>
      </c>
      <c r="M7" s="25">
        <v>64.650000000000006</v>
      </c>
      <c r="N7" s="25">
        <v>64.650000000000006</v>
      </c>
      <c r="O7" s="25">
        <v>64.650000000000006</v>
      </c>
      <c r="P7" s="25">
        <v>258.60000000000002</v>
      </c>
      <c r="Q7" s="10"/>
      <c r="R7" s="26">
        <f>Assumptions!R11</f>
        <v>65</v>
      </c>
      <c r="S7" s="26">
        <f>Assumptions!S11</f>
        <v>65</v>
      </c>
      <c r="T7" s="26">
        <f>Assumptions!T11</f>
        <v>65</v>
      </c>
      <c r="U7" s="26">
        <f>Assumptions!U11</f>
        <v>65</v>
      </c>
      <c r="V7" s="26">
        <f>SUM(R7:U7)</f>
        <v>260</v>
      </c>
      <c r="W7" s="26">
        <f>Assumptions!W11</f>
        <v>66.25</v>
      </c>
      <c r="X7" s="26">
        <f>Assumptions!X11</f>
        <v>66.25</v>
      </c>
      <c r="Y7" s="26">
        <f>Assumptions!Y11</f>
        <v>66.25</v>
      </c>
      <c r="Z7" s="26">
        <f>Assumptions!Z11</f>
        <v>66.25</v>
      </c>
      <c r="AA7" s="26">
        <f>SUM(W7:Z7)</f>
        <v>265</v>
      </c>
      <c r="AB7" s="26">
        <f>Assumptions!AB11</f>
        <v>67.5</v>
      </c>
      <c r="AC7" s="26">
        <f>Assumptions!AC11</f>
        <v>67.5</v>
      </c>
      <c r="AD7" s="26">
        <f>Assumptions!AD11</f>
        <v>67.5</v>
      </c>
      <c r="AE7" s="26">
        <f>Assumptions!AE11</f>
        <v>67.5</v>
      </c>
      <c r="AF7" s="26">
        <f>SUM(AB7:AE7)</f>
        <v>270</v>
      </c>
      <c r="AH7" s="10"/>
      <c r="AI7" s="20" t="s">
        <v>245</v>
      </c>
    </row>
    <row r="8" spans="1:35" ht="24" x14ac:dyDescent="0.25">
      <c r="A8" s="7" t="s">
        <v>246</v>
      </c>
      <c r="B8" s="31">
        <v>0.71</v>
      </c>
      <c r="C8" s="31">
        <v>0.71</v>
      </c>
      <c r="D8" s="31">
        <v>0.71</v>
      </c>
      <c r="E8" s="31">
        <v>0.71</v>
      </c>
      <c r="F8" s="31">
        <v>0.71</v>
      </c>
      <c r="G8" s="31">
        <v>0.71499999999999997</v>
      </c>
      <c r="H8" s="31">
        <v>0.71499999999999997</v>
      </c>
      <c r="I8" s="31">
        <v>0.71499999999999997</v>
      </c>
      <c r="J8" s="31">
        <v>0.71499999999999997</v>
      </c>
      <c r="K8" s="31">
        <v>0.71499999999999997</v>
      </c>
      <c r="L8" s="31">
        <v>0.72</v>
      </c>
      <c r="M8" s="31">
        <v>0.72</v>
      </c>
      <c r="N8" s="31">
        <v>0.72</v>
      </c>
      <c r="O8" s="31">
        <v>0.72</v>
      </c>
      <c r="P8" s="31">
        <v>0.72</v>
      </c>
      <c r="Q8" s="10"/>
      <c r="R8" s="32">
        <f>Assumptions!R17</f>
        <v>0.72</v>
      </c>
      <c r="S8" s="32">
        <f>Assumptions!S17</f>
        <v>0.72</v>
      </c>
      <c r="T8" s="32">
        <f>Assumptions!T17</f>
        <v>0.72</v>
      </c>
      <c r="U8" s="32">
        <f>Assumptions!U17</f>
        <v>0.72</v>
      </c>
      <c r="V8" s="32">
        <f>AVERAGE(R8:U8)</f>
        <v>0.72</v>
      </c>
      <c r="W8" s="32">
        <f>Assumptions!W17</f>
        <v>0.72499999999999998</v>
      </c>
      <c r="X8" s="32">
        <f>Assumptions!X17</f>
        <v>0.72499999999999998</v>
      </c>
      <c r="Y8" s="32">
        <f>Assumptions!Y17</f>
        <v>0.72499999999999998</v>
      </c>
      <c r="Z8" s="32">
        <f>Assumptions!Z17</f>
        <v>0.72499999999999998</v>
      </c>
      <c r="AA8" s="32">
        <f>AVERAGE(W8:Z8)</f>
        <v>0.72499999999999998</v>
      </c>
      <c r="AB8" s="32">
        <f>Assumptions!AB17</f>
        <v>0.73</v>
      </c>
      <c r="AC8" s="32">
        <f>Assumptions!AC17</f>
        <v>0.73</v>
      </c>
      <c r="AD8" s="32">
        <f>Assumptions!AD17</f>
        <v>0.73</v>
      </c>
      <c r="AE8" s="32">
        <f>Assumptions!AE17</f>
        <v>0.73</v>
      </c>
      <c r="AF8" s="32">
        <f>AVERAGE(AB8:AE8)</f>
        <v>0.73</v>
      </c>
      <c r="AH8" s="10"/>
      <c r="AI8" s="20" t="s">
        <v>247</v>
      </c>
    </row>
    <row r="9" spans="1:35" x14ac:dyDescent="0.25">
      <c r="A9" s="7" t="s">
        <v>248</v>
      </c>
      <c r="B9" s="26">
        <f>B7*B8</f>
        <v>42.919499999999999</v>
      </c>
      <c r="C9" s="26">
        <f>C7*C8</f>
        <v>42.919499999999999</v>
      </c>
      <c r="D9" s="26">
        <f>D7*D8</f>
        <v>42.919499999999999</v>
      </c>
      <c r="E9" s="26">
        <f>E7*E8</f>
        <v>42.919499999999999</v>
      </c>
      <c r="F9" s="26">
        <f>SUM(B9:E9)</f>
        <v>171.678</v>
      </c>
      <c r="G9" s="26">
        <f>G7*G8</f>
        <v>43.865249999999996</v>
      </c>
      <c r="H9" s="26">
        <f>H7*H8</f>
        <v>43.865249999999996</v>
      </c>
      <c r="I9" s="26">
        <f>I7*I8</f>
        <v>43.865249999999996</v>
      </c>
      <c r="J9" s="26">
        <f>J7*J8</f>
        <v>43.865249999999996</v>
      </c>
      <c r="K9" s="26">
        <f>SUM(G9:J9)</f>
        <v>175.46099999999998</v>
      </c>
      <c r="L9" s="26">
        <f>L7*L8</f>
        <v>46.548000000000002</v>
      </c>
      <c r="M9" s="26">
        <f>M7*M8</f>
        <v>46.548000000000002</v>
      </c>
      <c r="N9" s="26">
        <f>N7*N8</f>
        <v>46.548000000000002</v>
      </c>
      <c r="O9" s="26">
        <f>O7*O8</f>
        <v>46.548000000000002</v>
      </c>
      <c r="P9" s="26">
        <f>SUM(L9:O9)</f>
        <v>186.19200000000001</v>
      </c>
      <c r="Q9" s="10"/>
      <c r="R9" s="26">
        <f>R7*R8</f>
        <v>46.8</v>
      </c>
      <c r="S9" s="26">
        <f>S7*S8</f>
        <v>46.8</v>
      </c>
      <c r="T9" s="26">
        <f>T7*T8</f>
        <v>46.8</v>
      </c>
      <c r="U9" s="26">
        <f>U7*U8</f>
        <v>46.8</v>
      </c>
      <c r="V9" s="26">
        <f>SUM(R9:U9)</f>
        <v>187.2</v>
      </c>
      <c r="W9" s="26">
        <f>W7*W8</f>
        <v>48.03125</v>
      </c>
      <c r="X9" s="26">
        <f>X7*X8</f>
        <v>48.03125</v>
      </c>
      <c r="Y9" s="26">
        <f>Y7*Y8</f>
        <v>48.03125</v>
      </c>
      <c r="Z9" s="26">
        <f>Z7*Z8</f>
        <v>48.03125</v>
      </c>
      <c r="AA9" s="26">
        <f>SUM(W9:Z9)</f>
        <v>192.125</v>
      </c>
      <c r="AB9" s="26">
        <f>AB7*AB8</f>
        <v>49.274999999999999</v>
      </c>
      <c r="AC9" s="26">
        <f>AC7*AC8</f>
        <v>49.274999999999999</v>
      </c>
      <c r="AD9" s="26">
        <f>AD7*AD8</f>
        <v>49.274999999999999</v>
      </c>
      <c r="AE9" s="26">
        <f>AE7*AE8</f>
        <v>49.274999999999999</v>
      </c>
      <c r="AF9" s="26">
        <f>SUM(AB9:AE9)</f>
        <v>197.1</v>
      </c>
      <c r="AH9" s="10"/>
      <c r="AI9" s="20" t="s">
        <v>249</v>
      </c>
    </row>
    <row r="10" spans="1:35" ht="24" x14ac:dyDescent="0.25">
      <c r="A10" s="7" t="s">
        <v>250</v>
      </c>
      <c r="B10" s="36">
        <v>188</v>
      </c>
      <c r="C10" s="36">
        <v>188</v>
      </c>
      <c r="D10" s="36">
        <v>188</v>
      </c>
      <c r="E10" s="36">
        <v>188</v>
      </c>
      <c r="F10" s="36">
        <v>188</v>
      </c>
      <c r="G10" s="36">
        <v>190</v>
      </c>
      <c r="H10" s="36">
        <v>190</v>
      </c>
      <c r="I10" s="36">
        <v>190</v>
      </c>
      <c r="J10" s="36">
        <v>190</v>
      </c>
      <c r="K10" s="36">
        <v>190</v>
      </c>
      <c r="L10" s="36">
        <v>173</v>
      </c>
      <c r="M10" s="36">
        <v>173</v>
      </c>
      <c r="N10" s="36">
        <v>173</v>
      </c>
      <c r="O10" s="36">
        <v>173</v>
      </c>
      <c r="P10" s="36">
        <v>173</v>
      </c>
      <c r="Q10" s="10"/>
      <c r="R10" s="37">
        <f>Assumptions!R23</f>
        <v>175</v>
      </c>
      <c r="S10" s="37">
        <f>Assumptions!S23</f>
        <v>175</v>
      </c>
      <c r="T10" s="37">
        <f>Assumptions!T23</f>
        <v>175</v>
      </c>
      <c r="U10" s="37">
        <f>Assumptions!U23</f>
        <v>175</v>
      </c>
      <c r="V10" s="37">
        <f>AVERAGE(R10:U10)</f>
        <v>175</v>
      </c>
      <c r="W10" s="37">
        <f>Assumptions!W23</f>
        <v>182</v>
      </c>
      <c r="X10" s="37">
        <f>Assumptions!X23</f>
        <v>182</v>
      </c>
      <c r="Y10" s="37">
        <f>Assumptions!Y23</f>
        <v>182</v>
      </c>
      <c r="Z10" s="37">
        <f>Assumptions!Z23</f>
        <v>182</v>
      </c>
      <c r="AA10" s="37">
        <f>AVERAGE(W10:Z10)</f>
        <v>182</v>
      </c>
      <c r="AB10" s="37">
        <f>Assumptions!AB23</f>
        <v>184</v>
      </c>
      <c r="AC10" s="37">
        <f>Assumptions!AC23</f>
        <v>184</v>
      </c>
      <c r="AD10" s="37">
        <f>Assumptions!AD23</f>
        <v>184</v>
      </c>
      <c r="AE10" s="37">
        <f>Assumptions!AE23</f>
        <v>184</v>
      </c>
      <c r="AF10" s="37">
        <f>AVERAGE(AB10:AE10)</f>
        <v>184</v>
      </c>
      <c r="AH10" s="10"/>
      <c r="AI10" s="20" t="s">
        <v>251</v>
      </c>
    </row>
    <row r="11" spans="1:35" ht="24" x14ac:dyDescent="0.25">
      <c r="A11" s="7" t="s">
        <v>252</v>
      </c>
      <c r="B11" s="42">
        <f>B9*B10</f>
        <v>8068.866</v>
      </c>
      <c r="C11" s="42">
        <f>C9*C10</f>
        <v>8068.866</v>
      </c>
      <c r="D11" s="42">
        <f>D9*D10</f>
        <v>8068.866</v>
      </c>
      <c r="E11" s="42">
        <f>E9*E10</f>
        <v>8068.866</v>
      </c>
      <c r="F11" s="42">
        <f>SUM(B11:E11)</f>
        <v>32275.464</v>
      </c>
      <c r="G11" s="42">
        <f>G9*G10</f>
        <v>8334.3974999999991</v>
      </c>
      <c r="H11" s="42">
        <f>H9*H10</f>
        <v>8334.3974999999991</v>
      </c>
      <c r="I11" s="42">
        <f>I9*I10</f>
        <v>8334.3974999999991</v>
      </c>
      <c r="J11" s="42">
        <f>J9*J10</f>
        <v>8334.3974999999991</v>
      </c>
      <c r="K11" s="42">
        <f>SUM(G11:J11)</f>
        <v>33337.589999999997</v>
      </c>
      <c r="L11" s="42">
        <f>L9*L10</f>
        <v>8052.8040000000001</v>
      </c>
      <c r="M11" s="42">
        <f>M9*M10</f>
        <v>8052.8040000000001</v>
      </c>
      <c r="N11" s="42">
        <f>N9*N10</f>
        <v>8052.8040000000001</v>
      </c>
      <c r="O11" s="42">
        <f>O9*O10</f>
        <v>8052.8040000000001</v>
      </c>
      <c r="P11" s="42">
        <f>SUM(L11:O11)</f>
        <v>32211.216</v>
      </c>
      <c r="Q11" s="10"/>
      <c r="R11" s="42">
        <f>R9*R10</f>
        <v>8189.9999999999991</v>
      </c>
      <c r="S11" s="42">
        <f>S9*S10</f>
        <v>8189.9999999999991</v>
      </c>
      <c r="T11" s="42">
        <f>T9*T10</f>
        <v>8189.9999999999991</v>
      </c>
      <c r="U11" s="42">
        <f>U9*U10</f>
        <v>8189.9999999999991</v>
      </c>
      <c r="V11" s="42">
        <f>SUM(R11:U11)</f>
        <v>32759.999999999996</v>
      </c>
      <c r="W11" s="42">
        <f>W9*W10</f>
        <v>8741.6875</v>
      </c>
      <c r="X11" s="42">
        <f>X9*X10</f>
        <v>8741.6875</v>
      </c>
      <c r="Y11" s="42">
        <f>Y9*Y10</f>
        <v>8741.6875</v>
      </c>
      <c r="Z11" s="42">
        <f>Z9*Z10</f>
        <v>8741.6875</v>
      </c>
      <c r="AA11" s="42">
        <f>SUM(W11:Z11)</f>
        <v>34966.75</v>
      </c>
      <c r="AB11" s="42">
        <f>AB9*AB10</f>
        <v>9066.6</v>
      </c>
      <c r="AC11" s="42">
        <f>AC9*AC10</f>
        <v>9066.6</v>
      </c>
      <c r="AD11" s="42">
        <f>AD9*AD10</f>
        <v>9066.6</v>
      </c>
      <c r="AE11" s="42">
        <f>AE9*AE10</f>
        <v>9066.6</v>
      </c>
      <c r="AF11" s="42">
        <f>SUM(AB11:AE11)</f>
        <v>36266.400000000001</v>
      </c>
      <c r="AH11" s="10"/>
      <c r="AI11" s="20" t="s">
        <v>253</v>
      </c>
    </row>
    <row r="12" spans="1:35" ht="24" x14ac:dyDescent="0.25">
      <c r="A12" s="7" t="s">
        <v>254</v>
      </c>
      <c r="B12" s="42">
        <f>Segment_PL!F5/4</f>
        <v>8076.25</v>
      </c>
      <c r="C12" s="42">
        <f>Segment_PL!F5/4</f>
        <v>8076.25</v>
      </c>
      <c r="D12" s="42">
        <f>Segment_PL!F5/4</f>
        <v>8076.25</v>
      </c>
      <c r="E12" s="42">
        <f>Segment_PL!F5/4</f>
        <v>8076.25</v>
      </c>
      <c r="F12" s="17">
        <f>Segment_PL!F5</f>
        <v>32305</v>
      </c>
      <c r="G12" s="42">
        <f>Segment_PL!K5/4</f>
        <v>8336.5</v>
      </c>
      <c r="H12" s="42">
        <f>Segment_PL!K5/4</f>
        <v>8336.5</v>
      </c>
      <c r="I12" s="42">
        <f>Segment_PL!K5/4</f>
        <v>8336.5</v>
      </c>
      <c r="J12" s="42">
        <f>Segment_PL!K5/4</f>
        <v>8336.5</v>
      </c>
      <c r="K12" s="17">
        <f>Segment_PL!K5</f>
        <v>33346</v>
      </c>
      <c r="L12" s="41">
        <v>7629</v>
      </c>
      <c r="M12" s="41">
        <v>8189</v>
      </c>
      <c r="N12" s="41">
        <v>8190</v>
      </c>
      <c r="O12" s="41">
        <v>8220</v>
      </c>
      <c r="P12" s="17">
        <f>Segment_PL!P5</f>
        <v>32228</v>
      </c>
      <c r="Q12" s="10"/>
      <c r="R12" s="42">
        <f t="shared" ref="R12:AF12" si="0">R11</f>
        <v>8189.9999999999991</v>
      </c>
      <c r="S12" s="42">
        <f t="shared" si="0"/>
        <v>8189.9999999999991</v>
      </c>
      <c r="T12" s="42">
        <f t="shared" si="0"/>
        <v>8189.9999999999991</v>
      </c>
      <c r="U12" s="42">
        <f t="shared" si="0"/>
        <v>8189.9999999999991</v>
      </c>
      <c r="V12" s="17">
        <f t="shared" si="0"/>
        <v>32759.999999999996</v>
      </c>
      <c r="W12" s="42">
        <f t="shared" si="0"/>
        <v>8741.6875</v>
      </c>
      <c r="X12" s="42">
        <f t="shared" si="0"/>
        <v>8741.6875</v>
      </c>
      <c r="Y12" s="42">
        <f t="shared" si="0"/>
        <v>8741.6875</v>
      </c>
      <c r="Z12" s="42">
        <f t="shared" si="0"/>
        <v>8741.6875</v>
      </c>
      <c r="AA12" s="17">
        <f t="shared" si="0"/>
        <v>34966.75</v>
      </c>
      <c r="AB12" s="42">
        <f t="shared" si="0"/>
        <v>9066.6</v>
      </c>
      <c r="AC12" s="42">
        <f t="shared" si="0"/>
        <v>9066.6</v>
      </c>
      <c r="AD12" s="42">
        <f t="shared" si="0"/>
        <v>9066.6</v>
      </c>
      <c r="AE12" s="42">
        <f t="shared" si="0"/>
        <v>9066.6</v>
      </c>
      <c r="AF12" s="17">
        <f t="shared" si="0"/>
        <v>36266.400000000001</v>
      </c>
      <c r="AH12" s="10"/>
      <c r="AI12" s="20" t="s">
        <v>255</v>
      </c>
    </row>
    <row r="13" spans="1:35" ht="24" x14ac:dyDescent="0.35">
      <c r="A13" s="9" t="s">
        <v>256</v>
      </c>
      <c r="B13" s="10"/>
      <c r="C13" s="10"/>
      <c r="D13" s="10"/>
      <c r="E13" s="10"/>
      <c r="F13" s="42">
        <f>F11-F12</f>
        <v>-29.536000000000058</v>
      </c>
      <c r="G13" s="10"/>
      <c r="H13" s="10"/>
      <c r="I13" s="10"/>
      <c r="J13" s="10"/>
      <c r="K13" s="42">
        <f>K11-K12</f>
        <v>-8.4100000000034925</v>
      </c>
      <c r="L13" s="10"/>
      <c r="M13" s="10"/>
      <c r="N13" s="10"/>
      <c r="O13" s="10"/>
      <c r="P13" s="42">
        <f>P11-P12</f>
        <v>-16.783999999999651</v>
      </c>
      <c r="Q13" s="10"/>
      <c r="R13" s="10"/>
      <c r="S13" s="10"/>
      <c r="T13" s="10"/>
      <c r="U13" s="10"/>
      <c r="V13" s="42">
        <f>V11-V12</f>
        <v>0</v>
      </c>
      <c r="W13" s="10"/>
      <c r="X13" s="10"/>
      <c r="Y13" s="10"/>
      <c r="Z13" s="10"/>
      <c r="AA13" s="42">
        <f>AA11-AA12</f>
        <v>0</v>
      </c>
      <c r="AB13" s="10"/>
      <c r="AC13" s="10"/>
      <c r="AD13" s="10"/>
      <c r="AE13" s="10"/>
      <c r="AF13" s="42">
        <f>AF11-AF12</f>
        <v>0</v>
      </c>
      <c r="AG13" s="10"/>
      <c r="AH13" s="10"/>
      <c r="AI13" s="20" t="s">
        <v>257</v>
      </c>
    </row>
    <row r="14" spans="1:35" x14ac:dyDescent="0.25">
      <c r="A14" s="7" t="s">
        <v>258</v>
      </c>
      <c r="B14" s="10"/>
      <c r="C14" s="10"/>
      <c r="D14" s="10"/>
      <c r="E14" s="10"/>
      <c r="F14" s="14">
        <f>F13/F12</f>
        <v>-9.1428571428571611E-4</v>
      </c>
      <c r="G14" s="10"/>
      <c r="H14" s="10"/>
      <c r="I14" s="10"/>
      <c r="J14" s="10"/>
      <c r="K14" s="14">
        <f>K13/K12</f>
        <v>-2.5220416241838577E-4</v>
      </c>
      <c r="L14" s="10"/>
      <c r="M14" s="10"/>
      <c r="N14" s="10"/>
      <c r="O14" s="10"/>
      <c r="P14" s="14">
        <f>P13/P12</f>
        <v>-5.2078937569813983E-4</v>
      </c>
      <c r="Q14" s="10"/>
      <c r="R14" s="10"/>
      <c r="S14" s="10"/>
      <c r="T14" s="10"/>
      <c r="U14" s="10"/>
      <c r="V14" s="14">
        <f>V13/V12</f>
        <v>0</v>
      </c>
      <c r="W14" s="10"/>
      <c r="X14" s="10"/>
      <c r="Y14" s="10"/>
      <c r="Z14" s="10"/>
      <c r="AA14" s="14">
        <f>AA13/AA12</f>
        <v>0</v>
      </c>
      <c r="AB14" s="10"/>
      <c r="AC14" s="10"/>
      <c r="AD14" s="10"/>
      <c r="AE14" s="10"/>
      <c r="AF14" s="14">
        <f>AF13/AF12</f>
        <v>0</v>
      </c>
      <c r="AH14" s="10"/>
      <c r="AI14" s="20" t="s">
        <v>259</v>
      </c>
    </row>
    <row r="16" spans="1:35" ht="15" x14ac:dyDescent="0.35">
      <c r="A16" s="9" t="s">
        <v>260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</row>
    <row r="17" spans="1:35" ht="26" x14ac:dyDescent="0.25">
      <c r="A17" s="7" t="s">
        <v>261</v>
      </c>
      <c r="AI17" s="20" t="s">
        <v>262</v>
      </c>
    </row>
    <row r="18" spans="1:35" x14ac:dyDescent="0.25">
      <c r="A18" s="7" t="s">
        <v>263</v>
      </c>
      <c r="B18" s="25">
        <v>2.875</v>
      </c>
      <c r="C18" s="25">
        <v>2.875</v>
      </c>
      <c r="D18" s="25">
        <v>2.875</v>
      </c>
      <c r="E18" s="25">
        <v>2.875</v>
      </c>
      <c r="F18" s="25">
        <v>11.5</v>
      </c>
      <c r="G18" s="25">
        <v>3</v>
      </c>
      <c r="H18" s="25">
        <v>3</v>
      </c>
      <c r="I18" s="25">
        <v>3</v>
      </c>
      <c r="J18" s="25">
        <v>3</v>
      </c>
      <c r="K18" s="25">
        <v>12</v>
      </c>
      <c r="L18" s="25">
        <v>3.375</v>
      </c>
      <c r="M18" s="25">
        <v>3.375</v>
      </c>
      <c r="N18" s="25">
        <v>3.375</v>
      </c>
      <c r="O18" s="25">
        <v>3.375</v>
      </c>
      <c r="P18" s="25">
        <v>13.5</v>
      </c>
      <c r="Q18" s="10"/>
      <c r="R18" s="26">
        <f>Assumptions!R30</f>
        <v>3.375</v>
      </c>
      <c r="S18" s="26">
        <f>Assumptions!S30</f>
        <v>3.375</v>
      </c>
      <c r="T18" s="26">
        <f>Assumptions!T30</f>
        <v>3.375</v>
      </c>
      <c r="U18" s="26">
        <f>Assumptions!U30</f>
        <v>3.375</v>
      </c>
      <c r="V18" s="26">
        <f>SUM(R18:U18)</f>
        <v>13.5</v>
      </c>
      <c r="W18" s="26">
        <f>Assumptions!W30</f>
        <v>3.625</v>
      </c>
      <c r="X18" s="26">
        <f>Assumptions!X30</f>
        <v>3.625</v>
      </c>
      <c r="Y18" s="26">
        <f>Assumptions!Y30</f>
        <v>3.625</v>
      </c>
      <c r="Z18" s="26">
        <f>Assumptions!Z30</f>
        <v>3.625</v>
      </c>
      <c r="AA18" s="26">
        <f>SUM(W18:Z18)</f>
        <v>14.5</v>
      </c>
      <c r="AB18" s="26">
        <f>Assumptions!AB30</f>
        <v>3.875</v>
      </c>
      <c r="AC18" s="26">
        <f>Assumptions!AC30</f>
        <v>3.875</v>
      </c>
      <c r="AD18" s="26">
        <f>Assumptions!AD30</f>
        <v>3.875</v>
      </c>
      <c r="AE18" s="26">
        <f>Assumptions!AE30</f>
        <v>3.875</v>
      </c>
      <c r="AF18" s="26">
        <f>SUM(AB18:AE18)</f>
        <v>15.5</v>
      </c>
      <c r="AH18" s="10"/>
      <c r="AI18" s="20" t="s">
        <v>264</v>
      </c>
    </row>
    <row r="19" spans="1:35" ht="24" x14ac:dyDescent="0.25">
      <c r="A19" s="7" t="s">
        <v>265</v>
      </c>
      <c r="B19" s="31">
        <v>0.77500000000000002</v>
      </c>
      <c r="C19" s="31">
        <v>0.77500000000000002</v>
      </c>
      <c r="D19" s="31">
        <v>0.77500000000000002</v>
      </c>
      <c r="E19" s="31">
        <v>0.77500000000000002</v>
      </c>
      <c r="F19" s="31">
        <v>0.77500000000000002</v>
      </c>
      <c r="G19" s="31">
        <v>0.76</v>
      </c>
      <c r="H19" s="31">
        <v>0.76</v>
      </c>
      <c r="I19" s="31">
        <v>0.76</v>
      </c>
      <c r="J19" s="31">
        <v>0.76</v>
      </c>
      <c r="K19" s="31">
        <v>0.76</v>
      </c>
      <c r="L19" s="31">
        <v>0.73</v>
      </c>
      <c r="M19" s="31">
        <v>0.73</v>
      </c>
      <c r="N19" s="31">
        <v>0.73</v>
      </c>
      <c r="O19" s="31">
        <v>0.73</v>
      </c>
      <c r="P19" s="31">
        <v>0.73</v>
      </c>
      <c r="Q19" s="10"/>
      <c r="R19" s="32">
        <f>Assumptions!R36</f>
        <v>0.7</v>
      </c>
      <c r="S19" s="32">
        <f>Assumptions!S36</f>
        <v>0.7</v>
      </c>
      <c r="T19" s="32">
        <f>Assumptions!T36</f>
        <v>0.7</v>
      </c>
      <c r="U19" s="32">
        <f>Assumptions!U36</f>
        <v>0.7</v>
      </c>
      <c r="V19" s="32">
        <f>AVERAGE(R19:U19)</f>
        <v>0.7</v>
      </c>
      <c r="W19" s="32">
        <f>Assumptions!W36</f>
        <v>0.7</v>
      </c>
      <c r="X19" s="32">
        <f>Assumptions!X36</f>
        <v>0.7</v>
      </c>
      <c r="Y19" s="32">
        <f>Assumptions!Y36</f>
        <v>0.7</v>
      </c>
      <c r="Z19" s="32">
        <f>Assumptions!Z36</f>
        <v>0.7</v>
      </c>
      <c r="AA19" s="32">
        <f>AVERAGE(W19:Z19)</f>
        <v>0.7</v>
      </c>
      <c r="AB19" s="32">
        <f>Assumptions!AB36</f>
        <v>0.7</v>
      </c>
      <c r="AC19" s="32">
        <f>Assumptions!AC36</f>
        <v>0.7</v>
      </c>
      <c r="AD19" s="32">
        <f>Assumptions!AD36</f>
        <v>0.7</v>
      </c>
      <c r="AE19" s="32">
        <f>Assumptions!AE36</f>
        <v>0.7</v>
      </c>
      <c r="AF19" s="32">
        <f>AVERAGE(AB19:AE19)</f>
        <v>0.7</v>
      </c>
      <c r="AH19" s="10"/>
      <c r="AI19" s="20" t="s">
        <v>266</v>
      </c>
    </row>
    <row r="20" spans="1:35" x14ac:dyDescent="0.25">
      <c r="A20" s="7" t="s">
        <v>267</v>
      </c>
      <c r="B20" s="26">
        <f>B18*B19</f>
        <v>2.2281249999999999</v>
      </c>
      <c r="C20" s="26">
        <f>C18*C19</f>
        <v>2.2281249999999999</v>
      </c>
      <c r="D20" s="26">
        <f>D18*D19</f>
        <v>2.2281249999999999</v>
      </c>
      <c r="E20" s="26">
        <f>E18*E19</f>
        <v>2.2281249999999999</v>
      </c>
      <c r="F20" s="26">
        <f>SUM(B20:E20)</f>
        <v>8.9124999999999996</v>
      </c>
      <c r="G20" s="26">
        <f>G18*G19</f>
        <v>2.2800000000000002</v>
      </c>
      <c r="H20" s="26">
        <f>H18*H19</f>
        <v>2.2800000000000002</v>
      </c>
      <c r="I20" s="26">
        <f>I18*I19</f>
        <v>2.2800000000000002</v>
      </c>
      <c r="J20" s="26">
        <f>J18*J19</f>
        <v>2.2800000000000002</v>
      </c>
      <c r="K20" s="26">
        <f>SUM(G20:J20)</f>
        <v>9.120000000000001</v>
      </c>
      <c r="L20" s="26">
        <f>L18*L19</f>
        <v>2.4637500000000001</v>
      </c>
      <c r="M20" s="26">
        <f>M18*M19</f>
        <v>2.4637500000000001</v>
      </c>
      <c r="N20" s="26">
        <f>N18*N19</f>
        <v>2.4637500000000001</v>
      </c>
      <c r="O20" s="26">
        <f>O18*O19</f>
        <v>2.4637500000000001</v>
      </c>
      <c r="P20" s="26">
        <f>SUM(L20:O20)</f>
        <v>9.8550000000000004</v>
      </c>
      <c r="Q20" s="10"/>
      <c r="R20" s="26">
        <f>R18*R19</f>
        <v>2.3624999999999998</v>
      </c>
      <c r="S20" s="26">
        <f>S18*S19</f>
        <v>2.3624999999999998</v>
      </c>
      <c r="T20" s="26">
        <f>T18*T19</f>
        <v>2.3624999999999998</v>
      </c>
      <c r="U20" s="26">
        <f>U18*U19</f>
        <v>2.3624999999999998</v>
      </c>
      <c r="V20" s="26">
        <f>SUM(R20:U20)</f>
        <v>9.4499999999999993</v>
      </c>
      <c r="W20" s="26">
        <f>W18*W19</f>
        <v>2.5374999999999996</v>
      </c>
      <c r="X20" s="26">
        <f>X18*X19</f>
        <v>2.5374999999999996</v>
      </c>
      <c r="Y20" s="26">
        <f>Y18*Y19</f>
        <v>2.5374999999999996</v>
      </c>
      <c r="Z20" s="26">
        <f>Z18*Z19</f>
        <v>2.5374999999999996</v>
      </c>
      <c r="AA20" s="26">
        <f>SUM(W20:Z20)</f>
        <v>10.149999999999999</v>
      </c>
      <c r="AB20" s="26">
        <f>AB18*AB19</f>
        <v>2.7124999999999999</v>
      </c>
      <c r="AC20" s="26">
        <f>AC18*AC19</f>
        <v>2.7124999999999999</v>
      </c>
      <c r="AD20" s="26">
        <f>AD18*AD19</f>
        <v>2.7124999999999999</v>
      </c>
      <c r="AE20" s="26">
        <f>AE18*AE19</f>
        <v>2.7124999999999999</v>
      </c>
      <c r="AF20" s="26">
        <f>SUM(AB20:AE20)</f>
        <v>10.85</v>
      </c>
      <c r="AH20" s="10"/>
      <c r="AI20" s="20" t="s">
        <v>268</v>
      </c>
    </row>
    <row r="21" spans="1:35" ht="24" x14ac:dyDescent="0.25">
      <c r="A21" s="7" t="s">
        <v>269</v>
      </c>
      <c r="B21" s="41">
        <v>1772</v>
      </c>
      <c r="C21" s="41">
        <v>1772</v>
      </c>
      <c r="D21" s="41">
        <v>1772</v>
      </c>
      <c r="E21" s="41">
        <v>1772</v>
      </c>
      <c r="F21" s="41">
        <v>1772</v>
      </c>
      <c r="G21" s="41">
        <v>1712</v>
      </c>
      <c r="H21" s="41">
        <v>1712</v>
      </c>
      <c r="I21" s="41">
        <v>1712</v>
      </c>
      <c r="J21" s="41">
        <v>1712</v>
      </c>
      <c r="K21" s="41">
        <v>1712</v>
      </c>
      <c r="L21" s="41">
        <v>1632</v>
      </c>
      <c r="M21" s="41">
        <v>1632</v>
      </c>
      <c r="N21" s="41">
        <v>1632</v>
      </c>
      <c r="O21" s="41">
        <v>1632</v>
      </c>
      <c r="P21" s="41">
        <v>1632</v>
      </c>
      <c r="Q21" s="10"/>
      <c r="R21" s="42">
        <f>Assumptions!R42</f>
        <v>1600</v>
      </c>
      <c r="S21" s="42">
        <f>Assumptions!S42</f>
        <v>1600</v>
      </c>
      <c r="T21" s="42">
        <f>Assumptions!T42</f>
        <v>1600</v>
      </c>
      <c r="U21" s="42">
        <f>Assumptions!U42</f>
        <v>1600</v>
      </c>
      <c r="V21" s="42">
        <f>AVERAGE(R21:U21)</f>
        <v>1600</v>
      </c>
      <c r="W21" s="42">
        <f>Assumptions!W42</f>
        <v>1700</v>
      </c>
      <c r="X21" s="42">
        <f>Assumptions!X42</f>
        <v>1700</v>
      </c>
      <c r="Y21" s="42">
        <f>Assumptions!Y42</f>
        <v>1700</v>
      </c>
      <c r="Z21" s="42">
        <f>Assumptions!Z42</f>
        <v>1700</v>
      </c>
      <c r="AA21" s="42">
        <f>AVERAGE(W21:Z21)</f>
        <v>1700</v>
      </c>
      <c r="AB21" s="42">
        <f>Assumptions!AB42</f>
        <v>1750</v>
      </c>
      <c r="AC21" s="42">
        <f>Assumptions!AC42</f>
        <v>1750</v>
      </c>
      <c r="AD21" s="42">
        <f>Assumptions!AD42</f>
        <v>1750</v>
      </c>
      <c r="AE21" s="42">
        <f>Assumptions!AE42</f>
        <v>1750</v>
      </c>
      <c r="AF21" s="42">
        <f>AVERAGE(AB21:AE21)</f>
        <v>1750</v>
      </c>
      <c r="AH21" s="10"/>
      <c r="AI21" s="20" t="s">
        <v>270</v>
      </c>
    </row>
    <row r="22" spans="1:35" x14ac:dyDescent="0.25">
      <c r="A22" s="7" t="s">
        <v>271</v>
      </c>
      <c r="B22" s="42">
        <f>B20*B21</f>
        <v>3948.2374999999997</v>
      </c>
      <c r="C22" s="42">
        <f>C20*C21</f>
        <v>3948.2374999999997</v>
      </c>
      <c r="D22" s="42">
        <f>D20*D21</f>
        <v>3948.2374999999997</v>
      </c>
      <c r="E22" s="42">
        <f>E20*E21</f>
        <v>3948.2374999999997</v>
      </c>
      <c r="F22" s="42">
        <f>SUM(B22:E22)</f>
        <v>15792.949999999999</v>
      </c>
      <c r="G22" s="42">
        <f>G20*G21</f>
        <v>3903.3600000000006</v>
      </c>
      <c r="H22" s="42">
        <f>H20*H21</f>
        <v>3903.3600000000006</v>
      </c>
      <c r="I22" s="42">
        <f>I20*I21</f>
        <v>3903.3600000000006</v>
      </c>
      <c r="J22" s="42">
        <f>J20*J21</f>
        <v>3903.3600000000006</v>
      </c>
      <c r="K22" s="42">
        <f>SUM(G22:J22)</f>
        <v>15613.440000000002</v>
      </c>
      <c r="L22" s="42">
        <f>L20*L21</f>
        <v>4020.84</v>
      </c>
      <c r="M22" s="42">
        <f>M20*M21</f>
        <v>4020.84</v>
      </c>
      <c r="N22" s="42">
        <f>N20*N21</f>
        <v>4020.84</v>
      </c>
      <c r="O22" s="42">
        <f>O20*O21</f>
        <v>4020.84</v>
      </c>
      <c r="P22" s="42">
        <f>SUM(L22:O22)</f>
        <v>16083.36</v>
      </c>
      <c r="Q22" s="10"/>
      <c r="R22" s="42">
        <f>R20*R21</f>
        <v>3779.9999999999995</v>
      </c>
      <c r="S22" s="42">
        <f>S20*S21</f>
        <v>3779.9999999999995</v>
      </c>
      <c r="T22" s="42">
        <f>T20*T21</f>
        <v>3779.9999999999995</v>
      </c>
      <c r="U22" s="42">
        <f>U20*U21</f>
        <v>3779.9999999999995</v>
      </c>
      <c r="V22" s="42">
        <f>SUM(R22:U22)</f>
        <v>15119.999999999998</v>
      </c>
      <c r="W22" s="42">
        <f>W20*W21</f>
        <v>4313.7499999999991</v>
      </c>
      <c r="X22" s="42">
        <f>X20*X21</f>
        <v>4313.7499999999991</v>
      </c>
      <c r="Y22" s="42">
        <f>Y20*Y21</f>
        <v>4313.7499999999991</v>
      </c>
      <c r="Z22" s="42">
        <f>Z20*Z21</f>
        <v>4313.7499999999991</v>
      </c>
      <c r="AA22" s="42">
        <f>SUM(W22:Z22)</f>
        <v>17254.999999999996</v>
      </c>
      <c r="AB22" s="42">
        <f>AB20*AB21</f>
        <v>4746.875</v>
      </c>
      <c r="AC22" s="42">
        <f>AC20*AC21</f>
        <v>4746.875</v>
      </c>
      <c r="AD22" s="42">
        <f>AD20*AD21</f>
        <v>4746.875</v>
      </c>
      <c r="AE22" s="42">
        <f>AE20*AE21</f>
        <v>4746.875</v>
      </c>
      <c r="AF22" s="42">
        <f>SUM(AB22:AE22)</f>
        <v>18987.5</v>
      </c>
      <c r="AH22" s="10"/>
      <c r="AI22" s="20" t="s">
        <v>272</v>
      </c>
    </row>
    <row r="23" spans="1:35" ht="24" x14ac:dyDescent="0.25">
      <c r="A23" s="7" t="s">
        <v>273</v>
      </c>
      <c r="B23" s="41">
        <v>50</v>
      </c>
      <c r="C23" s="41">
        <v>50</v>
      </c>
      <c r="D23" s="41">
        <v>50</v>
      </c>
      <c r="E23" s="41">
        <v>50</v>
      </c>
      <c r="F23" s="41">
        <v>200</v>
      </c>
      <c r="G23" s="41">
        <v>125</v>
      </c>
      <c r="H23" s="41">
        <v>125</v>
      </c>
      <c r="I23" s="41">
        <v>125</v>
      </c>
      <c r="J23" s="41">
        <v>125</v>
      </c>
      <c r="K23" s="41">
        <v>500</v>
      </c>
      <c r="L23" s="41">
        <v>200</v>
      </c>
      <c r="M23" s="41">
        <v>200</v>
      </c>
      <c r="N23" s="41">
        <v>200</v>
      </c>
      <c r="O23" s="41">
        <v>200</v>
      </c>
      <c r="P23" s="41">
        <v>800</v>
      </c>
      <c r="Q23" s="10"/>
      <c r="R23" s="42">
        <f>Assumptions!R48</f>
        <v>700</v>
      </c>
      <c r="S23" s="42">
        <f>Assumptions!S48</f>
        <v>700</v>
      </c>
      <c r="T23" s="42">
        <f>Assumptions!T48</f>
        <v>700</v>
      </c>
      <c r="U23" s="42">
        <f>Assumptions!U48</f>
        <v>700</v>
      </c>
      <c r="V23" s="42">
        <f>SUM(R23:U23)</f>
        <v>2800</v>
      </c>
      <c r="W23" s="42">
        <f>Assumptions!W48</f>
        <v>1125</v>
      </c>
      <c r="X23" s="42">
        <f>Assumptions!X48</f>
        <v>1125</v>
      </c>
      <c r="Y23" s="42">
        <f>Assumptions!Y48</f>
        <v>1125</v>
      </c>
      <c r="Z23" s="42">
        <f>Assumptions!Z48</f>
        <v>1125</v>
      </c>
      <c r="AA23" s="42">
        <f>SUM(W23:Z23)</f>
        <v>4500</v>
      </c>
      <c r="AB23" s="42">
        <f>Assumptions!AB48</f>
        <v>1500</v>
      </c>
      <c r="AC23" s="42">
        <f>Assumptions!AC48</f>
        <v>1500</v>
      </c>
      <c r="AD23" s="42">
        <f>Assumptions!AD48</f>
        <v>1500</v>
      </c>
      <c r="AE23" s="42">
        <f>Assumptions!AE48</f>
        <v>1500</v>
      </c>
      <c r="AF23" s="42">
        <f>SUM(AB23:AE23)</f>
        <v>6000</v>
      </c>
      <c r="AH23" s="10"/>
      <c r="AI23" s="20" t="s">
        <v>274</v>
      </c>
    </row>
    <row r="24" spans="1:35" ht="24" x14ac:dyDescent="0.25">
      <c r="A24" s="7" t="s">
        <v>275</v>
      </c>
      <c r="B24" s="42">
        <f>B22+B23</f>
        <v>3998.2374999999997</v>
      </c>
      <c r="C24" s="42">
        <f>C22+C23</f>
        <v>3998.2374999999997</v>
      </c>
      <c r="D24" s="42">
        <f>D22+D23</f>
        <v>3998.2374999999997</v>
      </c>
      <c r="E24" s="42">
        <f>E22+E23</f>
        <v>3998.2374999999997</v>
      </c>
      <c r="F24" s="42">
        <f>SUM(B24:E24)</f>
        <v>15992.949999999999</v>
      </c>
      <c r="G24" s="42">
        <f>G22+G23</f>
        <v>4028.3600000000006</v>
      </c>
      <c r="H24" s="42">
        <f>H22+H23</f>
        <v>4028.3600000000006</v>
      </c>
      <c r="I24" s="42">
        <f>I22+I23</f>
        <v>4028.3600000000006</v>
      </c>
      <c r="J24" s="42">
        <f>J22+J23</f>
        <v>4028.3600000000006</v>
      </c>
      <c r="K24" s="42">
        <f>SUM(G24:J24)</f>
        <v>16113.440000000002</v>
      </c>
      <c r="L24" s="42">
        <f>L22+L23</f>
        <v>4220.84</v>
      </c>
      <c r="M24" s="42">
        <f>M22+M23</f>
        <v>4220.84</v>
      </c>
      <c r="N24" s="42">
        <f>N22+N23</f>
        <v>4220.84</v>
      </c>
      <c r="O24" s="42">
        <f>O22+O23</f>
        <v>4220.84</v>
      </c>
      <c r="P24" s="42">
        <f>SUM(L24:O24)</f>
        <v>16883.36</v>
      </c>
      <c r="Q24" s="10"/>
      <c r="R24" s="42">
        <f>R22+R23</f>
        <v>4480</v>
      </c>
      <c r="S24" s="42">
        <f>S22+S23</f>
        <v>4480</v>
      </c>
      <c r="T24" s="42">
        <f>T22+T23</f>
        <v>4480</v>
      </c>
      <c r="U24" s="42">
        <f>U22+U23</f>
        <v>4480</v>
      </c>
      <c r="V24" s="42">
        <f>SUM(R24:U24)</f>
        <v>17920</v>
      </c>
      <c r="W24" s="42">
        <f>W22+W23</f>
        <v>5438.7499999999991</v>
      </c>
      <c r="X24" s="42">
        <f>X22+X23</f>
        <v>5438.7499999999991</v>
      </c>
      <c r="Y24" s="42">
        <f>Y22+Y23</f>
        <v>5438.7499999999991</v>
      </c>
      <c r="Z24" s="42">
        <f>Z22+Z23</f>
        <v>5438.7499999999991</v>
      </c>
      <c r="AA24" s="42">
        <f>SUM(W24:Z24)</f>
        <v>21754.999999999996</v>
      </c>
      <c r="AB24" s="42">
        <f>AB22+AB23</f>
        <v>6246.875</v>
      </c>
      <c r="AC24" s="42">
        <f>AC22+AC23</f>
        <v>6246.875</v>
      </c>
      <c r="AD24" s="42">
        <f>AD22+AD23</f>
        <v>6246.875</v>
      </c>
      <c r="AE24" s="42">
        <f>AE22+AE23</f>
        <v>6246.875</v>
      </c>
      <c r="AF24" s="42">
        <f>SUM(AB24:AE24)</f>
        <v>24987.5</v>
      </c>
      <c r="AH24" s="10"/>
      <c r="AI24" s="20" t="s">
        <v>276</v>
      </c>
    </row>
    <row r="25" spans="1:35" x14ac:dyDescent="0.25">
      <c r="A25" s="7" t="s">
        <v>277</v>
      </c>
      <c r="B25" s="42">
        <f>Segment_PL!F10/4</f>
        <v>3995</v>
      </c>
      <c r="C25" s="42">
        <f>Segment_PL!F10/4</f>
        <v>3995</v>
      </c>
      <c r="D25" s="42">
        <f>Segment_PL!F10/4</f>
        <v>3995</v>
      </c>
      <c r="E25" s="42">
        <f>Segment_PL!F10/4</f>
        <v>3995</v>
      </c>
      <c r="F25" s="17">
        <f>Segment_PL!F10</f>
        <v>15980</v>
      </c>
      <c r="G25" s="42">
        <f>Segment_PL!K10/4</f>
        <v>4031.25</v>
      </c>
      <c r="H25" s="42">
        <f>Segment_PL!K10/4</f>
        <v>4031.25</v>
      </c>
      <c r="I25" s="42">
        <f>Segment_PL!K10/4</f>
        <v>4031.25</v>
      </c>
      <c r="J25" s="42">
        <f>Segment_PL!K10/4</f>
        <v>4031.25</v>
      </c>
      <c r="K25" s="17">
        <f>Segment_PL!K10</f>
        <v>16125</v>
      </c>
      <c r="L25" s="41">
        <v>4126</v>
      </c>
      <c r="M25" s="41">
        <v>4058</v>
      </c>
      <c r="N25" s="41">
        <v>4058</v>
      </c>
      <c r="O25" s="41">
        <v>4677</v>
      </c>
      <c r="P25" s="17">
        <f>Segment_PL!P10</f>
        <v>16919</v>
      </c>
      <c r="Q25" s="10"/>
      <c r="R25" s="42">
        <f t="shared" ref="R25:AF25" si="1">R24</f>
        <v>4480</v>
      </c>
      <c r="S25" s="42">
        <f t="shared" si="1"/>
        <v>4480</v>
      </c>
      <c r="T25" s="42">
        <f t="shared" si="1"/>
        <v>4480</v>
      </c>
      <c r="U25" s="42">
        <f t="shared" si="1"/>
        <v>4480</v>
      </c>
      <c r="V25" s="17">
        <f t="shared" si="1"/>
        <v>17920</v>
      </c>
      <c r="W25" s="42">
        <f t="shared" si="1"/>
        <v>5438.7499999999991</v>
      </c>
      <c r="X25" s="42">
        <f t="shared" si="1"/>
        <v>5438.7499999999991</v>
      </c>
      <c r="Y25" s="42">
        <f t="shared" si="1"/>
        <v>5438.7499999999991</v>
      </c>
      <c r="Z25" s="42">
        <f t="shared" si="1"/>
        <v>5438.7499999999991</v>
      </c>
      <c r="AA25" s="17">
        <f t="shared" si="1"/>
        <v>21754.999999999996</v>
      </c>
      <c r="AB25" s="42">
        <f t="shared" si="1"/>
        <v>6246.875</v>
      </c>
      <c r="AC25" s="42">
        <f t="shared" si="1"/>
        <v>6246.875</v>
      </c>
      <c r="AD25" s="42">
        <f t="shared" si="1"/>
        <v>6246.875</v>
      </c>
      <c r="AE25" s="42">
        <f t="shared" si="1"/>
        <v>6246.875</v>
      </c>
      <c r="AF25" s="17">
        <f t="shared" si="1"/>
        <v>24987.5</v>
      </c>
      <c r="AH25" s="10"/>
      <c r="AI25" s="20" t="s">
        <v>278</v>
      </c>
    </row>
    <row r="26" spans="1:35" ht="24" x14ac:dyDescent="0.35">
      <c r="A26" s="9" t="s">
        <v>256</v>
      </c>
      <c r="B26" s="10"/>
      <c r="C26" s="10"/>
      <c r="D26" s="10"/>
      <c r="E26" s="10"/>
      <c r="F26" s="42">
        <f>F24-F25</f>
        <v>12.949999999998909</v>
      </c>
      <c r="G26" s="10"/>
      <c r="H26" s="10"/>
      <c r="I26" s="10"/>
      <c r="J26" s="10"/>
      <c r="K26" s="42">
        <f>K24-K25</f>
        <v>-11.559999999997672</v>
      </c>
      <c r="L26" s="10"/>
      <c r="M26" s="10"/>
      <c r="N26" s="10"/>
      <c r="O26" s="10"/>
      <c r="P26" s="42">
        <f>P24-P25</f>
        <v>-35.639999999999418</v>
      </c>
      <c r="Q26" s="10"/>
      <c r="R26" s="10"/>
      <c r="S26" s="10"/>
      <c r="T26" s="10"/>
      <c r="U26" s="10"/>
      <c r="V26" s="42">
        <f>V24-V25</f>
        <v>0</v>
      </c>
      <c r="W26" s="10"/>
      <c r="X26" s="10"/>
      <c r="Y26" s="10"/>
      <c r="Z26" s="10"/>
      <c r="AA26" s="42">
        <f>AA24-AA25</f>
        <v>0</v>
      </c>
      <c r="AB26" s="10"/>
      <c r="AC26" s="10"/>
      <c r="AD26" s="10"/>
      <c r="AE26" s="10"/>
      <c r="AF26" s="42">
        <f>AF24-AF25</f>
        <v>0</v>
      </c>
      <c r="AG26" s="10"/>
      <c r="AH26" s="10"/>
      <c r="AI26" s="20" t="s">
        <v>279</v>
      </c>
    </row>
    <row r="27" spans="1:35" x14ac:dyDescent="0.25">
      <c r="A27" s="7" t="s">
        <v>258</v>
      </c>
      <c r="B27" s="10"/>
      <c r="C27" s="10"/>
      <c r="D27" s="10"/>
      <c r="E27" s="10"/>
      <c r="F27" s="14">
        <f>F26/F25</f>
        <v>8.1038798498115825E-4</v>
      </c>
      <c r="G27" s="10"/>
      <c r="H27" s="10"/>
      <c r="I27" s="10"/>
      <c r="J27" s="10"/>
      <c r="K27" s="14">
        <f>K26/K25</f>
        <v>-7.1689922480605713E-4</v>
      </c>
      <c r="L27" s="10"/>
      <c r="M27" s="10"/>
      <c r="N27" s="10"/>
      <c r="O27" s="10"/>
      <c r="P27" s="14">
        <f>P26/P25</f>
        <v>-2.106507476801195E-3</v>
      </c>
      <c r="Q27" s="10"/>
      <c r="R27" s="10"/>
      <c r="S27" s="10"/>
      <c r="T27" s="10"/>
      <c r="U27" s="10"/>
      <c r="V27" s="14">
        <f>V26/V25</f>
        <v>0</v>
      </c>
      <c r="W27" s="10"/>
      <c r="X27" s="10"/>
      <c r="Y27" s="10"/>
      <c r="Z27" s="10"/>
      <c r="AA27" s="14">
        <f>AA26/AA25</f>
        <v>0</v>
      </c>
      <c r="AB27" s="10"/>
      <c r="AC27" s="10"/>
      <c r="AD27" s="10"/>
      <c r="AE27" s="10"/>
      <c r="AF27" s="14">
        <f>AF26/AF25</f>
        <v>0</v>
      </c>
      <c r="AH27" s="10"/>
      <c r="AI27" s="20" t="s">
        <v>259</v>
      </c>
    </row>
    <row r="29" spans="1:35" ht="15" x14ac:dyDescent="0.35">
      <c r="A29" s="9" t="s">
        <v>280</v>
      </c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</row>
    <row r="30" spans="1:35" ht="26" x14ac:dyDescent="0.25">
      <c r="A30" s="7" t="s">
        <v>281</v>
      </c>
      <c r="AI30" s="20" t="s">
        <v>282</v>
      </c>
    </row>
    <row r="31" spans="1:35" x14ac:dyDescent="0.25">
      <c r="A31" s="7" t="s">
        <v>283</v>
      </c>
      <c r="B31" s="26">
        <f>B9+B20</f>
        <v>45.147624999999998</v>
      </c>
      <c r="C31" s="26">
        <f>C9+C20</f>
        <v>45.147624999999998</v>
      </c>
      <c r="D31" s="26">
        <f>D9+D20</f>
        <v>45.147624999999998</v>
      </c>
      <c r="E31" s="26">
        <f>E9+E20</f>
        <v>45.147624999999998</v>
      </c>
      <c r="F31" s="26">
        <f>SUM(B31:E31)</f>
        <v>180.59049999999999</v>
      </c>
      <c r="G31" s="26">
        <f>G9+G20</f>
        <v>46.145249999999997</v>
      </c>
      <c r="H31" s="26">
        <f>H9+H20</f>
        <v>46.145249999999997</v>
      </c>
      <c r="I31" s="26">
        <f>I9+I20</f>
        <v>46.145249999999997</v>
      </c>
      <c r="J31" s="26">
        <f>J9+J20</f>
        <v>46.145249999999997</v>
      </c>
      <c r="K31" s="26">
        <f>SUM(G31:J31)</f>
        <v>184.58099999999999</v>
      </c>
      <c r="L31" s="26">
        <f>L9+L20</f>
        <v>49.011749999999999</v>
      </c>
      <c r="M31" s="26">
        <f>M9+M20</f>
        <v>49.011749999999999</v>
      </c>
      <c r="N31" s="26">
        <f>N9+N20</f>
        <v>49.011749999999999</v>
      </c>
      <c r="O31" s="26">
        <f>O9+O20</f>
        <v>49.011749999999999</v>
      </c>
      <c r="P31" s="26">
        <f>SUM(L31:O31)</f>
        <v>196.047</v>
      </c>
      <c r="Q31" s="10"/>
      <c r="R31" s="26">
        <f>R9+R20</f>
        <v>49.162499999999994</v>
      </c>
      <c r="S31" s="26">
        <f>S9+S20</f>
        <v>49.162499999999994</v>
      </c>
      <c r="T31" s="26">
        <f>T9+T20</f>
        <v>49.162499999999994</v>
      </c>
      <c r="U31" s="26">
        <f>U9+U20</f>
        <v>49.162499999999994</v>
      </c>
      <c r="V31" s="26">
        <f>SUM(R31:U31)</f>
        <v>196.64999999999998</v>
      </c>
      <c r="W31" s="26">
        <f>W9+W20</f>
        <v>50.568750000000001</v>
      </c>
      <c r="X31" s="26">
        <f>X9+X20</f>
        <v>50.568750000000001</v>
      </c>
      <c r="Y31" s="26">
        <f>Y9+Y20</f>
        <v>50.568750000000001</v>
      </c>
      <c r="Z31" s="26">
        <f>Z9+Z20</f>
        <v>50.568750000000001</v>
      </c>
      <c r="AA31" s="26">
        <f>SUM(W31:Z31)</f>
        <v>202.27500000000001</v>
      </c>
      <c r="AB31" s="26">
        <f>AB9+AB20</f>
        <v>51.987499999999997</v>
      </c>
      <c r="AC31" s="26">
        <f>AC9+AC20</f>
        <v>51.987499999999997</v>
      </c>
      <c r="AD31" s="26">
        <f>AD9+AD20</f>
        <v>51.987499999999997</v>
      </c>
      <c r="AE31" s="26">
        <f>AE9+AE20</f>
        <v>51.987499999999997</v>
      </c>
      <c r="AF31" s="26">
        <f>SUM(AB31:AE31)</f>
        <v>207.95</v>
      </c>
      <c r="AH31" s="10"/>
      <c r="AI31" s="20" t="s">
        <v>284</v>
      </c>
    </row>
    <row r="32" spans="1:35" ht="24" x14ac:dyDescent="0.25">
      <c r="A32" s="7" t="s">
        <v>285</v>
      </c>
      <c r="B32" s="36">
        <v>102.2</v>
      </c>
      <c r="C32" s="36">
        <v>102.2</v>
      </c>
      <c r="D32" s="36">
        <v>102.2</v>
      </c>
      <c r="E32" s="36">
        <v>102.2</v>
      </c>
      <c r="F32" s="36">
        <v>102.2</v>
      </c>
      <c r="G32" s="36">
        <v>93.5</v>
      </c>
      <c r="H32" s="36">
        <v>93.5</v>
      </c>
      <c r="I32" s="36">
        <v>93.5</v>
      </c>
      <c r="J32" s="36">
        <v>93.5</v>
      </c>
      <c r="K32" s="36">
        <v>93.5</v>
      </c>
      <c r="L32" s="36">
        <v>90.1</v>
      </c>
      <c r="M32" s="36">
        <v>90.1</v>
      </c>
      <c r="N32" s="36">
        <v>90.1</v>
      </c>
      <c r="O32" s="36">
        <v>90.1</v>
      </c>
      <c r="P32" s="36">
        <v>90.1</v>
      </c>
      <c r="Q32" s="10"/>
      <c r="R32" s="37">
        <f>Assumptions!R55</f>
        <v>90</v>
      </c>
      <c r="S32" s="37">
        <f>Assumptions!S55</f>
        <v>90</v>
      </c>
      <c r="T32" s="37">
        <f>Assumptions!T55</f>
        <v>90</v>
      </c>
      <c r="U32" s="37">
        <f>Assumptions!U55</f>
        <v>90</v>
      </c>
      <c r="V32" s="37">
        <f>AVERAGE(R32:U32)</f>
        <v>90</v>
      </c>
      <c r="W32" s="37">
        <f>Assumptions!W55</f>
        <v>92</v>
      </c>
      <c r="X32" s="37">
        <f>Assumptions!X55</f>
        <v>92</v>
      </c>
      <c r="Y32" s="37">
        <f>Assumptions!Y55</f>
        <v>92</v>
      </c>
      <c r="Z32" s="37">
        <f>Assumptions!Z55</f>
        <v>92</v>
      </c>
      <c r="AA32" s="37">
        <f>AVERAGE(W32:Z32)</f>
        <v>92</v>
      </c>
      <c r="AB32" s="37">
        <f>Assumptions!AB55</f>
        <v>95</v>
      </c>
      <c r="AC32" s="37">
        <f>Assumptions!AC55</f>
        <v>95</v>
      </c>
      <c r="AD32" s="37">
        <f>Assumptions!AD55</f>
        <v>95</v>
      </c>
      <c r="AE32" s="37">
        <f>Assumptions!AE55</f>
        <v>95</v>
      </c>
      <c r="AF32" s="37">
        <f>AVERAGE(AB32:AE32)</f>
        <v>95</v>
      </c>
      <c r="AH32" s="10"/>
      <c r="AI32" s="20" t="s">
        <v>286</v>
      </c>
    </row>
    <row r="33" spans="1:35" x14ac:dyDescent="0.25">
      <c r="A33" s="7" t="s">
        <v>287</v>
      </c>
      <c r="B33" s="42">
        <f>B31*B32</f>
        <v>4614.0872749999999</v>
      </c>
      <c r="C33" s="42">
        <f>C31*C32</f>
        <v>4614.0872749999999</v>
      </c>
      <c r="D33" s="42">
        <f>D31*D32</f>
        <v>4614.0872749999999</v>
      </c>
      <c r="E33" s="42">
        <f>E31*E32</f>
        <v>4614.0872749999999</v>
      </c>
      <c r="F33" s="42">
        <f>SUM(B33:E33)</f>
        <v>18456.349099999999</v>
      </c>
      <c r="G33" s="42">
        <f>G31*G32</f>
        <v>4314.5808749999997</v>
      </c>
      <c r="H33" s="42">
        <f>H31*H32</f>
        <v>4314.5808749999997</v>
      </c>
      <c r="I33" s="42">
        <f>I31*I32</f>
        <v>4314.5808749999997</v>
      </c>
      <c r="J33" s="42">
        <f>J31*J32</f>
        <v>4314.5808749999997</v>
      </c>
      <c r="K33" s="42">
        <f>SUM(G33:J33)</f>
        <v>17258.323499999999</v>
      </c>
      <c r="L33" s="42">
        <f>L31*L32</f>
        <v>4415.9586749999999</v>
      </c>
      <c r="M33" s="42">
        <f>M31*M32</f>
        <v>4415.9586749999999</v>
      </c>
      <c r="N33" s="42">
        <f>N31*N32</f>
        <v>4415.9586749999999</v>
      </c>
      <c r="O33" s="42">
        <f>O31*O32</f>
        <v>4415.9586749999999</v>
      </c>
      <c r="P33" s="42">
        <f>SUM(L33:O33)</f>
        <v>17663.834699999999</v>
      </c>
      <c r="Q33" s="10"/>
      <c r="R33" s="42">
        <f>R31*R32</f>
        <v>4424.6249999999991</v>
      </c>
      <c r="S33" s="42">
        <f>S31*S32</f>
        <v>4424.6249999999991</v>
      </c>
      <c r="T33" s="42">
        <f>T31*T32</f>
        <v>4424.6249999999991</v>
      </c>
      <c r="U33" s="42">
        <f>U31*U32</f>
        <v>4424.6249999999991</v>
      </c>
      <c r="V33" s="42">
        <f>SUM(R33:U33)</f>
        <v>17698.499999999996</v>
      </c>
      <c r="W33" s="42">
        <f>W31*W32</f>
        <v>4652.3249999999998</v>
      </c>
      <c r="X33" s="42">
        <f>X31*X32</f>
        <v>4652.3249999999998</v>
      </c>
      <c r="Y33" s="42">
        <f>Y31*Y32</f>
        <v>4652.3249999999998</v>
      </c>
      <c r="Z33" s="42">
        <f>Z31*Z32</f>
        <v>4652.3249999999998</v>
      </c>
      <c r="AA33" s="42">
        <f>SUM(W33:Z33)</f>
        <v>18609.3</v>
      </c>
      <c r="AB33" s="42">
        <f>AB31*AB32</f>
        <v>4938.8125</v>
      </c>
      <c r="AC33" s="42">
        <f>AC31*AC32</f>
        <v>4938.8125</v>
      </c>
      <c r="AD33" s="42">
        <f>AD31*AD32</f>
        <v>4938.8125</v>
      </c>
      <c r="AE33" s="42">
        <f>AE31*AE32</f>
        <v>4938.8125</v>
      </c>
      <c r="AF33" s="42">
        <f>SUM(AB33:AE33)</f>
        <v>19755.25</v>
      </c>
      <c r="AH33" s="10"/>
      <c r="AI33" s="20" t="s">
        <v>288</v>
      </c>
    </row>
    <row r="34" spans="1:35" ht="24" x14ac:dyDescent="0.25">
      <c r="A34" s="7" t="s">
        <v>289</v>
      </c>
      <c r="B34" s="41">
        <v>12.5</v>
      </c>
      <c r="C34" s="41">
        <v>12.5</v>
      </c>
      <c r="D34" s="41">
        <v>12.5</v>
      </c>
      <c r="E34" s="41">
        <v>12.5</v>
      </c>
      <c r="F34" s="41">
        <v>50</v>
      </c>
      <c r="G34" s="41">
        <v>15</v>
      </c>
      <c r="H34" s="41">
        <v>15</v>
      </c>
      <c r="I34" s="41">
        <v>15</v>
      </c>
      <c r="J34" s="41">
        <v>15</v>
      </c>
      <c r="K34" s="41">
        <v>60</v>
      </c>
      <c r="L34" s="41">
        <v>37.5</v>
      </c>
      <c r="M34" s="41">
        <v>37.5</v>
      </c>
      <c r="N34" s="41">
        <v>37.5</v>
      </c>
      <c r="O34" s="41">
        <v>37.5</v>
      </c>
      <c r="P34" s="41">
        <v>150</v>
      </c>
      <c r="Q34" s="10"/>
      <c r="R34" s="42">
        <f>Assumptions!R61</f>
        <v>175</v>
      </c>
      <c r="S34" s="42">
        <f>Assumptions!S61</f>
        <v>175</v>
      </c>
      <c r="T34" s="42">
        <f>Assumptions!T61</f>
        <v>175</v>
      </c>
      <c r="U34" s="42">
        <f>Assumptions!U61</f>
        <v>175</v>
      </c>
      <c r="V34" s="42">
        <f>SUM(R34:U34)</f>
        <v>700</v>
      </c>
      <c r="W34" s="42">
        <f>Assumptions!W61</f>
        <v>375</v>
      </c>
      <c r="X34" s="42">
        <f>Assumptions!X61</f>
        <v>375</v>
      </c>
      <c r="Y34" s="42">
        <f>Assumptions!Y61</f>
        <v>375</v>
      </c>
      <c r="Z34" s="42">
        <f>Assumptions!Z61</f>
        <v>375</v>
      </c>
      <c r="AA34" s="42">
        <f>SUM(W34:Z34)</f>
        <v>1500</v>
      </c>
      <c r="AB34" s="42">
        <f>Assumptions!AB61</f>
        <v>625</v>
      </c>
      <c r="AC34" s="42">
        <f>Assumptions!AC61</f>
        <v>625</v>
      </c>
      <c r="AD34" s="42">
        <f>Assumptions!AD61</f>
        <v>625</v>
      </c>
      <c r="AE34" s="42">
        <f>Assumptions!AE61</f>
        <v>625</v>
      </c>
      <c r="AF34" s="42">
        <f>SUM(AB34:AE34)</f>
        <v>2500</v>
      </c>
      <c r="AH34" s="10"/>
      <c r="AI34" s="20" t="s">
        <v>290</v>
      </c>
    </row>
    <row r="35" spans="1:35" x14ac:dyDescent="0.25">
      <c r="A35" s="7" t="s">
        <v>291</v>
      </c>
      <c r="B35" s="42">
        <f>B33+B34</f>
        <v>4626.5872749999999</v>
      </c>
      <c r="C35" s="42">
        <f>C33+C34</f>
        <v>4626.5872749999999</v>
      </c>
      <c r="D35" s="42">
        <f>D33+D34</f>
        <v>4626.5872749999999</v>
      </c>
      <c r="E35" s="42">
        <f>E33+E34</f>
        <v>4626.5872749999999</v>
      </c>
      <c r="F35" s="42">
        <f>SUM(B35:E35)</f>
        <v>18506.349099999999</v>
      </c>
      <c r="G35" s="42">
        <f>G33+G34</f>
        <v>4329.5808749999997</v>
      </c>
      <c r="H35" s="42">
        <f>H33+H34</f>
        <v>4329.5808749999997</v>
      </c>
      <c r="I35" s="42">
        <f>I33+I34</f>
        <v>4329.5808749999997</v>
      </c>
      <c r="J35" s="42">
        <f>J33+J34</f>
        <v>4329.5808749999997</v>
      </c>
      <c r="K35" s="42">
        <f>SUM(G35:J35)</f>
        <v>17318.323499999999</v>
      </c>
      <c r="L35" s="42">
        <f>L33+L34</f>
        <v>4453.4586749999999</v>
      </c>
      <c r="M35" s="42">
        <f>M33+M34</f>
        <v>4453.4586749999999</v>
      </c>
      <c r="N35" s="42">
        <f>N33+N34</f>
        <v>4453.4586749999999</v>
      </c>
      <c r="O35" s="42">
        <f>O33+O34</f>
        <v>4453.4586749999999</v>
      </c>
      <c r="P35" s="42">
        <f>SUM(L35:O35)</f>
        <v>17813.834699999999</v>
      </c>
      <c r="Q35" s="10"/>
      <c r="R35" s="42">
        <f>R33+R34</f>
        <v>4599.6249999999991</v>
      </c>
      <c r="S35" s="42">
        <f>S33+S34</f>
        <v>4599.6249999999991</v>
      </c>
      <c r="T35" s="42">
        <f>T33+T34</f>
        <v>4599.6249999999991</v>
      </c>
      <c r="U35" s="42">
        <f>U33+U34</f>
        <v>4599.6249999999991</v>
      </c>
      <c r="V35" s="42">
        <f>SUM(R35:U35)</f>
        <v>18398.499999999996</v>
      </c>
      <c r="W35" s="42">
        <f>W33+W34</f>
        <v>5027.3249999999998</v>
      </c>
      <c r="X35" s="42">
        <f>X33+X34</f>
        <v>5027.3249999999998</v>
      </c>
      <c r="Y35" s="42">
        <f>Y33+Y34</f>
        <v>5027.3249999999998</v>
      </c>
      <c r="Z35" s="42">
        <f>Z33+Z34</f>
        <v>5027.3249999999998</v>
      </c>
      <c r="AA35" s="42">
        <f>SUM(W35:Z35)</f>
        <v>20109.3</v>
      </c>
      <c r="AB35" s="42">
        <f>AB33+AB34</f>
        <v>5563.8125</v>
      </c>
      <c r="AC35" s="42">
        <f>AC33+AC34</f>
        <v>5563.8125</v>
      </c>
      <c r="AD35" s="42">
        <f>AD33+AD34</f>
        <v>5563.8125</v>
      </c>
      <c r="AE35" s="42">
        <f>AE33+AE34</f>
        <v>5563.8125</v>
      </c>
      <c r="AF35" s="42">
        <f>SUM(AB35:AE35)</f>
        <v>22255.25</v>
      </c>
      <c r="AH35" s="10"/>
      <c r="AI35" s="20" t="s">
        <v>292</v>
      </c>
    </row>
    <row r="36" spans="1:35" x14ac:dyDescent="0.25">
      <c r="A36" s="7" t="s">
        <v>293</v>
      </c>
      <c r="B36" s="42">
        <f>Segment_PL!F15/4</f>
        <v>4626</v>
      </c>
      <c r="C36" s="42">
        <f>Segment_PL!F15/4</f>
        <v>4626</v>
      </c>
      <c r="D36" s="42">
        <f>Segment_PL!F15/4</f>
        <v>4626</v>
      </c>
      <c r="E36" s="42">
        <f>Segment_PL!F15/4</f>
        <v>4626</v>
      </c>
      <c r="F36" s="17">
        <f>Segment_PL!F15</f>
        <v>18504</v>
      </c>
      <c r="G36" s="42">
        <f>Segment_PL!K15/4</f>
        <v>4329.25</v>
      </c>
      <c r="H36" s="42">
        <f>Segment_PL!K15/4</f>
        <v>4329.25</v>
      </c>
      <c r="I36" s="42">
        <f>Segment_PL!K15/4</f>
        <v>4329.25</v>
      </c>
      <c r="J36" s="42">
        <f>Segment_PL!K15/4</f>
        <v>4329.25</v>
      </c>
      <c r="K36" s="17">
        <f>Segment_PL!K15</f>
        <v>17317</v>
      </c>
      <c r="L36" s="41">
        <v>4667</v>
      </c>
      <c r="M36" s="41">
        <v>4321</v>
      </c>
      <c r="N36" s="41">
        <v>4320</v>
      </c>
      <c r="O36" s="41">
        <v>4518</v>
      </c>
      <c r="P36" s="17">
        <f>Segment_PL!P15</f>
        <v>17826</v>
      </c>
      <c r="Q36" s="10"/>
      <c r="R36" s="42">
        <f t="shared" ref="R36:AF36" si="2">R35</f>
        <v>4599.6249999999991</v>
      </c>
      <c r="S36" s="42">
        <f t="shared" si="2"/>
        <v>4599.6249999999991</v>
      </c>
      <c r="T36" s="42">
        <f t="shared" si="2"/>
        <v>4599.6249999999991</v>
      </c>
      <c r="U36" s="42">
        <f t="shared" si="2"/>
        <v>4599.6249999999991</v>
      </c>
      <c r="V36" s="17">
        <f t="shared" si="2"/>
        <v>18398.499999999996</v>
      </c>
      <c r="W36" s="42">
        <f t="shared" si="2"/>
        <v>5027.3249999999998</v>
      </c>
      <c r="X36" s="42">
        <f t="shared" si="2"/>
        <v>5027.3249999999998</v>
      </c>
      <c r="Y36" s="42">
        <f t="shared" si="2"/>
        <v>5027.3249999999998</v>
      </c>
      <c r="Z36" s="42">
        <f t="shared" si="2"/>
        <v>5027.3249999999998</v>
      </c>
      <c r="AA36" s="17">
        <f t="shared" si="2"/>
        <v>20109.3</v>
      </c>
      <c r="AB36" s="42">
        <f t="shared" si="2"/>
        <v>5563.8125</v>
      </c>
      <c r="AC36" s="42">
        <f t="shared" si="2"/>
        <v>5563.8125</v>
      </c>
      <c r="AD36" s="42">
        <f t="shared" si="2"/>
        <v>5563.8125</v>
      </c>
      <c r="AE36" s="42">
        <f t="shared" si="2"/>
        <v>5563.8125</v>
      </c>
      <c r="AF36" s="17">
        <f t="shared" si="2"/>
        <v>22255.25</v>
      </c>
      <c r="AH36" s="10"/>
      <c r="AI36" s="20" t="s">
        <v>278</v>
      </c>
    </row>
    <row r="37" spans="1:35" ht="24" x14ac:dyDescent="0.35">
      <c r="A37" s="9" t="s">
        <v>256</v>
      </c>
      <c r="B37" s="10"/>
      <c r="C37" s="10"/>
      <c r="D37" s="10"/>
      <c r="E37" s="10"/>
      <c r="F37" s="42">
        <f>F35-F36</f>
        <v>2.3490999999994528</v>
      </c>
      <c r="G37" s="10"/>
      <c r="H37" s="10"/>
      <c r="I37" s="10"/>
      <c r="J37" s="10"/>
      <c r="K37" s="42">
        <f>K35-K36</f>
        <v>1.323499999998603</v>
      </c>
      <c r="L37" s="10"/>
      <c r="M37" s="10"/>
      <c r="N37" s="10"/>
      <c r="O37" s="10"/>
      <c r="P37" s="42">
        <f>P35-P36</f>
        <v>-12.16530000000057</v>
      </c>
      <c r="Q37" s="10"/>
      <c r="R37" s="10"/>
      <c r="S37" s="10"/>
      <c r="T37" s="10"/>
      <c r="U37" s="10"/>
      <c r="V37" s="42">
        <f>V35-V36</f>
        <v>0</v>
      </c>
      <c r="W37" s="10"/>
      <c r="X37" s="10"/>
      <c r="Y37" s="10"/>
      <c r="Z37" s="10"/>
      <c r="AA37" s="42">
        <f>AA35-AA36</f>
        <v>0</v>
      </c>
      <c r="AB37" s="10"/>
      <c r="AC37" s="10"/>
      <c r="AD37" s="10"/>
      <c r="AE37" s="10"/>
      <c r="AF37" s="42">
        <f>AF35-AF36</f>
        <v>0</v>
      </c>
      <c r="AG37" s="10"/>
      <c r="AH37" s="10"/>
      <c r="AI37" s="20" t="s">
        <v>294</v>
      </c>
    </row>
    <row r="38" spans="1:35" x14ac:dyDescent="0.25">
      <c r="A38" s="7" t="s">
        <v>258</v>
      </c>
      <c r="B38" s="10"/>
      <c r="C38" s="10"/>
      <c r="D38" s="10"/>
      <c r="E38" s="10"/>
      <c r="F38" s="14">
        <f>F37/F36</f>
        <v>1.2695092952872097E-4</v>
      </c>
      <c r="G38" s="10"/>
      <c r="H38" s="10"/>
      <c r="I38" s="10"/>
      <c r="J38" s="10"/>
      <c r="K38" s="14">
        <f>K37/K36</f>
        <v>7.6427787722966044E-5</v>
      </c>
      <c r="L38" s="10"/>
      <c r="M38" s="10"/>
      <c r="N38" s="10"/>
      <c r="O38" s="10"/>
      <c r="P38" s="14">
        <f>P37/P36</f>
        <v>-6.824469875463127E-4</v>
      </c>
      <c r="Q38" s="10"/>
      <c r="R38" s="10"/>
      <c r="S38" s="10"/>
      <c r="T38" s="10"/>
      <c r="U38" s="10"/>
      <c r="V38" s="14">
        <f>V37/V36</f>
        <v>0</v>
      </c>
      <c r="W38" s="10"/>
      <c r="X38" s="10"/>
      <c r="Y38" s="10"/>
      <c r="Z38" s="10"/>
      <c r="AA38" s="14">
        <f>AA37/AA36</f>
        <v>0</v>
      </c>
      <c r="AB38" s="10"/>
      <c r="AC38" s="10"/>
      <c r="AD38" s="10"/>
      <c r="AE38" s="10"/>
      <c r="AF38" s="14">
        <f>AF37/AF36</f>
        <v>0</v>
      </c>
      <c r="AH38" s="10"/>
      <c r="AI38" s="20" t="s">
        <v>259</v>
      </c>
    </row>
    <row r="40" spans="1:35" ht="15" x14ac:dyDescent="0.35">
      <c r="A40" s="9" t="s">
        <v>295</v>
      </c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</row>
    <row r="41" spans="1:35" ht="26" x14ac:dyDescent="0.25">
      <c r="A41" s="7" t="s">
        <v>296</v>
      </c>
      <c r="AI41" s="20" t="s">
        <v>297</v>
      </c>
    </row>
    <row r="42" spans="1:35" x14ac:dyDescent="0.25">
      <c r="A42" s="7" t="s">
        <v>298</v>
      </c>
      <c r="B42" s="25">
        <v>22.25</v>
      </c>
      <c r="C42" s="25">
        <v>22.25</v>
      </c>
      <c r="D42" s="25">
        <v>22.25</v>
      </c>
      <c r="E42" s="25">
        <v>22.25</v>
      </c>
      <c r="F42" s="25">
        <v>89</v>
      </c>
      <c r="G42" s="25">
        <v>22</v>
      </c>
      <c r="H42" s="25">
        <v>22</v>
      </c>
      <c r="I42" s="25">
        <v>22</v>
      </c>
      <c r="J42" s="25">
        <v>22</v>
      </c>
      <c r="K42" s="25">
        <v>88</v>
      </c>
      <c r="L42" s="25">
        <v>21.75</v>
      </c>
      <c r="M42" s="25">
        <v>21.75</v>
      </c>
      <c r="N42" s="25">
        <v>21.75</v>
      </c>
      <c r="O42" s="25">
        <v>21.75</v>
      </c>
      <c r="P42" s="25">
        <v>87</v>
      </c>
      <c r="Q42" s="10"/>
      <c r="R42" s="26">
        <f>Assumptions!R68</f>
        <v>22</v>
      </c>
      <c r="S42" s="26">
        <f>Assumptions!S68</f>
        <v>22</v>
      </c>
      <c r="T42" s="26">
        <f>Assumptions!T68</f>
        <v>22</v>
      </c>
      <c r="U42" s="26">
        <f>Assumptions!U68</f>
        <v>22</v>
      </c>
      <c r="V42" s="26">
        <f>SUM(R42:U42)</f>
        <v>88</v>
      </c>
      <c r="W42" s="26">
        <f>Assumptions!W68</f>
        <v>22.25</v>
      </c>
      <c r="X42" s="26">
        <f>Assumptions!X68</f>
        <v>22.25</v>
      </c>
      <c r="Y42" s="26">
        <f>Assumptions!Y68</f>
        <v>22.25</v>
      </c>
      <c r="Z42" s="26">
        <f>Assumptions!Z68</f>
        <v>22.25</v>
      </c>
      <c r="AA42" s="26">
        <f>SUM(W42:Z42)</f>
        <v>89</v>
      </c>
      <c r="AB42" s="26">
        <f>Assumptions!AB68</f>
        <v>22.5</v>
      </c>
      <c r="AC42" s="26">
        <f>Assumptions!AC68</f>
        <v>22.5</v>
      </c>
      <c r="AD42" s="26">
        <f>Assumptions!AD68</f>
        <v>22.5</v>
      </c>
      <c r="AE42" s="26">
        <f>Assumptions!AE68</f>
        <v>22.5</v>
      </c>
      <c r="AF42" s="26">
        <f>SUM(AB42:AE42)</f>
        <v>90</v>
      </c>
      <c r="AH42" s="10"/>
      <c r="AI42" s="20" t="s">
        <v>299</v>
      </c>
    </row>
    <row r="43" spans="1:35" x14ac:dyDescent="0.25">
      <c r="A43" s="7" t="s">
        <v>300</v>
      </c>
      <c r="B43" s="36">
        <v>23.4</v>
      </c>
      <c r="C43" s="36">
        <v>23.4</v>
      </c>
      <c r="D43" s="36">
        <v>23.4</v>
      </c>
      <c r="E43" s="36">
        <v>23.4</v>
      </c>
      <c r="F43" s="36">
        <v>23.4</v>
      </c>
      <c r="G43" s="36">
        <v>18.899999999999999</v>
      </c>
      <c r="H43" s="36">
        <v>18.899999999999999</v>
      </c>
      <c r="I43" s="36">
        <v>18.899999999999999</v>
      </c>
      <c r="J43" s="36">
        <v>18.899999999999999</v>
      </c>
      <c r="K43" s="36">
        <v>18.899999999999999</v>
      </c>
      <c r="L43" s="36">
        <v>21.8</v>
      </c>
      <c r="M43" s="36">
        <v>21.8</v>
      </c>
      <c r="N43" s="36">
        <v>21.8</v>
      </c>
      <c r="O43" s="36">
        <v>21.8</v>
      </c>
      <c r="P43" s="36">
        <v>21.8</v>
      </c>
      <c r="Q43" s="10"/>
      <c r="R43" s="37">
        <f>Assumptions!R74</f>
        <v>19</v>
      </c>
      <c r="S43" s="37">
        <f>Assumptions!S74</f>
        <v>19</v>
      </c>
      <c r="T43" s="37">
        <f>Assumptions!T74</f>
        <v>19</v>
      </c>
      <c r="U43" s="37">
        <f>Assumptions!U74</f>
        <v>19</v>
      </c>
      <c r="V43" s="37">
        <f>AVERAGE(R43:U43)</f>
        <v>19</v>
      </c>
      <c r="W43" s="37">
        <f>Assumptions!W74</f>
        <v>20</v>
      </c>
      <c r="X43" s="37">
        <f>Assumptions!X74</f>
        <v>20</v>
      </c>
      <c r="Y43" s="37">
        <f>Assumptions!Y74</f>
        <v>20</v>
      </c>
      <c r="Z43" s="37">
        <f>Assumptions!Z74</f>
        <v>20</v>
      </c>
      <c r="AA43" s="37">
        <f>AVERAGE(W43:Z43)</f>
        <v>20</v>
      </c>
      <c r="AB43" s="37">
        <f>Assumptions!AB74</f>
        <v>21</v>
      </c>
      <c r="AC43" s="37">
        <f>Assumptions!AC74</f>
        <v>21</v>
      </c>
      <c r="AD43" s="37">
        <f>Assumptions!AD74</f>
        <v>21</v>
      </c>
      <c r="AE43" s="37">
        <f>Assumptions!AE74</f>
        <v>21</v>
      </c>
      <c r="AF43" s="37">
        <f>AVERAGE(AB43:AE43)</f>
        <v>21</v>
      </c>
      <c r="AH43" s="10"/>
      <c r="AI43" s="20" t="s">
        <v>301</v>
      </c>
    </row>
    <row r="44" spans="1:35" x14ac:dyDescent="0.25">
      <c r="A44" s="7" t="s">
        <v>302</v>
      </c>
      <c r="B44" s="42">
        <f>B42*B43</f>
        <v>520.65</v>
      </c>
      <c r="C44" s="42">
        <f>C42*C43</f>
        <v>520.65</v>
      </c>
      <c r="D44" s="42">
        <f>D42*D43</f>
        <v>520.65</v>
      </c>
      <c r="E44" s="42">
        <f>E42*E43</f>
        <v>520.65</v>
      </c>
      <c r="F44" s="42">
        <f>SUM(B44:E44)</f>
        <v>2082.6</v>
      </c>
      <c r="G44" s="42">
        <f>G42*G43</f>
        <v>415.79999999999995</v>
      </c>
      <c r="H44" s="42">
        <f>H42*H43</f>
        <v>415.79999999999995</v>
      </c>
      <c r="I44" s="42">
        <f>I42*I43</f>
        <v>415.79999999999995</v>
      </c>
      <c r="J44" s="42">
        <f>J42*J43</f>
        <v>415.79999999999995</v>
      </c>
      <c r="K44" s="42">
        <f>SUM(G44:J44)</f>
        <v>1663.1999999999998</v>
      </c>
      <c r="L44" s="42">
        <f>L42*L43</f>
        <v>474.15000000000003</v>
      </c>
      <c r="M44" s="42">
        <f>M42*M43</f>
        <v>474.15000000000003</v>
      </c>
      <c r="N44" s="42">
        <f>N42*N43</f>
        <v>474.15000000000003</v>
      </c>
      <c r="O44" s="42">
        <f>O42*O43</f>
        <v>474.15000000000003</v>
      </c>
      <c r="P44" s="42">
        <f>SUM(L44:O44)</f>
        <v>1896.6000000000001</v>
      </c>
      <c r="Q44" s="10"/>
      <c r="R44" s="42">
        <f>R42*R43</f>
        <v>418</v>
      </c>
      <c r="S44" s="42">
        <f>S42*S43</f>
        <v>418</v>
      </c>
      <c r="T44" s="42">
        <f>T42*T43</f>
        <v>418</v>
      </c>
      <c r="U44" s="42">
        <f>U42*U43</f>
        <v>418</v>
      </c>
      <c r="V44" s="42">
        <f>SUM(R44:U44)</f>
        <v>1672</v>
      </c>
      <c r="W44" s="42">
        <f>W42*W43</f>
        <v>445</v>
      </c>
      <c r="X44" s="42">
        <f>X42*X43</f>
        <v>445</v>
      </c>
      <c r="Y44" s="42">
        <f>Y42*Y43</f>
        <v>445</v>
      </c>
      <c r="Z44" s="42">
        <f>Z42*Z43</f>
        <v>445</v>
      </c>
      <c r="AA44" s="42">
        <f>SUM(W44:Z44)</f>
        <v>1780</v>
      </c>
      <c r="AB44" s="42">
        <f>AB42*AB43</f>
        <v>472.5</v>
      </c>
      <c r="AC44" s="42">
        <f>AC42*AC43</f>
        <v>472.5</v>
      </c>
      <c r="AD44" s="42">
        <f>AD42*AD43</f>
        <v>472.5</v>
      </c>
      <c r="AE44" s="42">
        <f>AE42*AE43</f>
        <v>472.5</v>
      </c>
      <c r="AF44" s="42">
        <f>SUM(AB44:AE44)</f>
        <v>1890</v>
      </c>
      <c r="AH44" s="10"/>
      <c r="AI44" s="20" t="s">
        <v>303</v>
      </c>
    </row>
    <row r="45" spans="1:35" ht="24" x14ac:dyDescent="0.25">
      <c r="A45" s="7" t="s">
        <v>304</v>
      </c>
      <c r="B45" s="41">
        <v>844.5</v>
      </c>
      <c r="C45" s="41">
        <v>844.5</v>
      </c>
      <c r="D45" s="41">
        <v>844.5</v>
      </c>
      <c r="E45" s="41">
        <v>844.5</v>
      </c>
      <c r="F45" s="41">
        <v>3378</v>
      </c>
      <c r="G45" s="41">
        <v>485.25</v>
      </c>
      <c r="H45" s="41">
        <v>485.25</v>
      </c>
      <c r="I45" s="41">
        <v>485.25</v>
      </c>
      <c r="J45" s="41">
        <v>485.25</v>
      </c>
      <c r="K45" s="41">
        <v>1941</v>
      </c>
      <c r="L45" s="41">
        <v>415.75</v>
      </c>
      <c r="M45" s="41">
        <v>415.75</v>
      </c>
      <c r="N45" s="41">
        <v>415.75</v>
      </c>
      <c r="O45" s="41">
        <v>415.75</v>
      </c>
      <c r="P45" s="41">
        <v>1663</v>
      </c>
      <c r="Q45" s="10"/>
      <c r="R45" s="42">
        <f>Assumptions!R80</f>
        <v>450</v>
      </c>
      <c r="S45" s="42">
        <f>Assumptions!S80</f>
        <v>450</v>
      </c>
      <c r="T45" s="42">
        <f>Assumptions!T80</f>
        <v>450</v>
      </c>
      <c r="U45" s="42">
        <f>Assumptions!U80</f>
        <v>450</v>
      </c>
      <c r="V45" s="42">
        <f>SUM(R45:U45)</f>
        <v>1800</v>
      </c>
      <c r="W45" s="42">
        <f>Assumptions!W80</f>
        <v>500</v>
      </c>
      <c r="X45" s="42">
        <f>Assumptions!X80</f>
        <v>500</v>
      </c>
      <c r="Y45" s="42">
        <f>Assumptions!Y80</f>
        <v>500</v>
      </c>
      <c r="Z45" s="42">
        <f>Assumptions!Z80</f>
        <v>500</v>
      </c>
      <c r="AA45" s="42">
        <f>SUM(W45:Z45)</f>
        <v>2000</v>
      </c>
      <c r="AB45" s="42">
        <f>Assumptions!AB80</f>
        <v>550</v>
      </c>
      <c r="AC45" s="42">
        <f>Assumptions!AC80</f>
        <v>550</v>
      </c>
      <c r="AD45" s="42">
        <f>Assumptions!AD80</f>
        <v>550</v>
      </c>
      <c r="AE45" s="42">
        <f>Assumptions!AE80</f>
        <v>550</v>
      </c>
      <c r="AF45" s="42">
        <f>SUM(AB45:AE45)</f>
        <v>2200</v>
      </c>
      <c r="AH45" s="10"/>
      <c r="AI45" s="20" t="s">
        <v>305</v>
      </c>
    </row>
    <row r="46" spans="1:35" x14ac:dyDescent="0.25">
      <c r="A46" s="7" t="s">
        <v>306</v>
      </c>
      <c r="B46" s="42">
        <f>B44+B45</f>
        <v>1365.15</v>
      </c>
      <c r="C46" s="42">
        <f>C44+C45</f>
        <v>1365.15</v>
      </c>
      <c r="D46" s="42">
        <f>D44+D45</f>
        <v>1365.15</v>
      </c>
      <c r="E46" s="42">
        <f>E44+E45</f>
        <v>1365.15</v>
      </c>
      <c r="F46" s="42">
        <f>SUM(B46:E46)</f>
        <v>5460.6</v>
      </c>
      <c r="G46" s="42">
        <f>G44+G45</f>
        <v>901.05</v>
      </c>
      <c r="H46" s="42">
        <f>H44+H45</f>
        <v>901.05</v>
      </c>
      <c r="I46" s="42">
        <f>I44+I45</f>
        <v>901.05</v>
      </c>
      <c r="J46" s="42">
        <f>J44+J45</f>
        <v>901.05</v>
      </c>
      <c r="K46" s="42">
        <f>SUM(G46:J46)</f>
        <v>3604.2</v>
      </c>
      <c r="L46" s="42">
        <f>L44+L45</f>
        <v>889.90000000000009</v>
      </c>
      <c r="M46" s="42">
        <f>M44+M45</f>
        <v>889.90000000000009</v>
      </c>
      <c r="N46" s="42">
        <f>N44+N45</f>
        <v>889.90000000000009</v>
      </c>
      <c r="O46" s="42">
        <f>O44+O45</f>
        <v>889.90000000000009</v>
      </c>
      <c r="P46" s="42">
        <f>SUM(L46:O46)</f>
        <v>3559.6000000000004</v>
      </c>
      <c r="Q46" s="10"/>
      <c r="R46" s="42">
        <f>R44+R45</f>
        <v>868</v>
      </c>
      <c r="S46" s="42">
        <f>S44+S45</f>
        <v>868</v>
      </c>
      <c r="T46" s="42">
        <f>T44+T45</f>
        <v>868</v>
      </c>
      <c r="U46" s="42">
        <f>U44+U45</f>
        <v>868</v>
      </c>
      <c r="V46" s="42">
        <f>SUM(R46:U46)</f>
        <v>3472</v>
      </c>
      <c r="W46" s="42">
        <f>W44+W45</f>
        <v>945</v>
      </c>
      <c r="X46" s="42">
        <f>X44+X45</f>
        <v>945</v>
      </c>
      <c r="Y46" s="42">
        <f>Y44+Y45</f>
        <v>945</v>
      </c>
      <c r="Z46" s="42">
        <f>Z44+Z45</f>
        <v>945</v>
      </c>
      <c r="AA46" s="42">
        <f>SUM(W46:Z46)</f>
        <v>3780</v>
      </c>
      <c r="AB46" s="42">
        <f>AB44+AB45</f>
        <v>1022.5</v>
      </c>
      <c r="AC46" s="42">
        <f>AC44+AC45</f>
        <v>1022.5</v>
      </c>
      <c r="AD46" s="42">
        <f>AD44+AD45</f>
        <v>1022.5</v>
      </c>
      <c r="AE46" s="42">
        <f>AE44+AE45</f>
        <v>1022.5</v>
      </c>
      <c r="AF46" s="42">
        <f>SUM(AB46:AE46)</f>
        <v>4090</v>
      </c>
      <c r="AH46" s="10"/>
      <c r="AI46" s="20" t="s">
        <v>307</v>
      </c>
    </row>
    <row r="47" spans="1:35" x14ac:dyDescent="0.25">
      <c r="A47" s="7" t="s">
        <v>308</v>
      </c>
      <c r="B47" s="42">
        <f>Segment_PL!F20/4</f>
        <v>1365.75</v>
      </c>
      <c r="C47" s="42">
        <f>Segment_PL!F20/4</f>
        <v>1365.75</v>
      </c>
      <c r="D47" s="42">
        <f>Segment_PL!F20/4</f>
        <v>1365.75</v>
      </c>
      <c r="E47" s="42">
        <f>Segment_PL!F20/4</f>
        <v>1365.75</v>
      </c>
      <c r="F47" s="17">
        <f>Segment_PL!F20</f>
        <v>5463</v>
      </c>
      <c r="G47" s="42">
        <f>Segment_PL!K20/4</f>
        <v>900.25</v>
      </c>
      <c r="H47" s="42">
        <f>Segment_PL!K20/4</f>
        <v>900.25</v>
      </c>
      <c r="I47" s="42">
        <f>Segment_PL!K20/4</f>
        <v>900.25</v>
      </c>
      <c r="J47" s="42">
        <f>Segment_PL!K20/4</f>
        <v>900.25</v>
      </c>
      <c r="K47" s="17">
        <f>Segment_PL!K20</f>
        <v>3601</v>
      </c>
      <c r="L47" s="41">
        <v>943</v>
      </c>
      <c r="M47" s="41">
        <v>1022</v>
      </c>
      <c r="N47" s="41">
        <v>1022</v>
      </c>
      <c r="O47" s="41">
        <v>576</v>
      </c>
      <c r="P47" s="17">
        <f>Segment_PL!P20</f>
        <v>3563</v>
      </c>
      <c r="Q47" s="10"/>
      <c r="R47" s="42">
        <f t="shared" ref="R47:AF47" si="3">R46</f>
        <v>868</v>
      </c>
      <c r="S47" s="42">
        <f t="shared" si="3"/>
        <v>868</v>
      </c>
      <c r="T47" s="42">
        <f t="shared" si="3"/>
        <v>868</v>
      </c>
      <c r="U47" s="42">
        <f t="shared" si="3"/>
        <v>868</v>
      </c>
      <c r="V47" s="17">
        <f t="shared" si="3"/>
        <v>3472</v>
      </c>
      <c r="W47" s="42">
        <f t="shared" si="3"/>
        <v>945</v>
      </c>
      <c r="X47" s="42">
        <f t="shared" si="3"/>
        <v>945</v>
      </c>
      <c r="Y47" s="42">
        <f t="shared" si="3"/>
        <v>945</v>
      </c>
      <c r="Z47" s="42">
        <f t="shared" si="3"/>
        <v>945</v>
      </c>
      <c r="AA47" s="17">
        <f t="shared" si="3"/>
        <v>3780</v>
      </c>
      <c r="AB47" s="42">
        <f t="shared" si="3"/>
        <v>1022.5</v>
      </c>
      <c r="AC47" s="42">
        <f t="shared" si="3"/>
        <v>1022.5</v>
      </c>
      <c r="AD47" s="42">
        <f t="shared" si="3"/>
        <v>1022.5</v>
      </c>
      <c r="AE47" s="42">
        <f t="shared" si="3"/>
        <v>1022.5</v>
      </c>
      <c r="AF47" s="17">
        <f t="shared" si="3"/>
        <v>4090</v>
      </c>
      <c r="AH47" s="10"/>
      <c r="AI47" s="20" t="s">
        <v>278</v>
      </c>
    </row>
    <row r="48" spans="1:35" ht="24" x14ac:dyDescent="0.35">
      <c r="A48" s="9" t="s">
        <v>256</v>
      </c>
      <c r="B48" s="10"/>
      <c r="C48" s="10"/>
      <c r="D48" s="10"/>
      <c r="E48" s="10"/>
      <c r="F48" s="42">
        <f>F46-F47</f>
        <v>-2.3999999999996362</v>
      </c>
      <c r="G48" s="10"/>
      <c r="H48" s="10"/>
      <c r="I48" s="10"/>
      <c r="J48" s="10"/>
      <c r="K48" s="42">
        <f>K46-K47</f>
        <v>3.1999999999998181</v>
      </c>
      <c r="L48" s="10"/>
      <c r="M48" s="10"/>
      <c r="N48" s="10"/>
      <c r="O48" s="10"/>
      <c r="P48" s="42">
        <f>P46-P47</f>
        <v>-3.3999999999996362</v>
      </c>
      <c r="Q48" s="10"/>
      <c r="R48" s="10"/>
      <c r="S48" s="10"/>
      <c r="T48" s="10"/>
      <c r="U48" s="10"/>
      <c r="V48" s="42">
        <f>V46-V47</f>
        <v>0</v>
      </c>
      <c r="W48" s="10"/>
      <c r="X48" s="10"/>
      <c r="Y48" s="10"/>
      <c r="Z48" s="10"/>
      <c r="AA48" s="42">
        <f>AA46-AA47</f>
        <v>0</v>
      </c>
      <c r="AB48" s="10"/>
      <c r="AC48" s="10"/>
      <c r="AD48" s="10"/>
      <c r="AE48" s="10"/>
      <c r="AF48" s="42">
        <f>AF46-AF47</f>
        <v>0</v>
      </c>
      <c r="AG48" s="10"/>
      <c r="AH48" s="10"/>
      <c r="AI48" s="20" t="s">
        <v>309</v>
      </c>
    </row>
    <row r="49" spans="1:35" x14ac:dyDescent="0.25">
      <c r="A49" s="7" t="s">
        <v>258</v>
      </c>
      <c r="B49" s="10"/>
      <c r="C49" s="10"/>
      <c r="D49" s="10"/>
      <c r="E49" s="10"/>
      <c r="F49" s="14">
        <f>F48/F47</f>
        <v>-4.3931905546396418E-4</v>
      </c>
      <c r="G49" s="10"/>
      <c r="H49" s="10"/>
      <c r="I49" s="10"/>
      <c r="J49" s="10"/>
      <c r="K49" s="14">
        <f>K48/K47</f>
        <v>8.8864204387665039E-4</v>
      </c>
      <c r="L49" s="10"/>
      <c r="M49" s="10"/>
      <c r="N49" s="10"/>
      <c r="O49" s="10"/>
      <c r="P49" s="14">
        <f>P48/P47</f>
        <v>-9.5425203480203088E-4</v>
      </c>
      <c r="Q49" s="10"/>
      <c r="R49" s="10"/>
      <c r="S49" s="10"/>
      <c r="T49" s="10"/>
      <c r="U49" s="10"/>
      <c r="V49" s="14">
        <f>V48/V47</f>
        <v>0</v>
      </c>
      <c r="W49" s="10"/>
      <c r="X49" s="10"/>
      <c r="Y49" s="10"/>
      <c r="Z49" s="10"/>
      <c r="AA49" s="14">
        <f>AA48/AA47</f>
        <v>0</v>
      </c>
      <c r="AB49" s="10"/>
      <c r="AC49" s="10"/>
      <c r="AD49" s="10"/>
      <c r="AE49" s="10"/>
      <c r="AF49" s="14">
        <f>AF48/AF47</f>
        <v>0</v>
      </c>
      <c r="AH49" s="10"/>
      <c r="AI49" s="20" t="s">
        <v>259</v>
      </c>
    </row>
    <row r="51" spans="1:35" ht="15" x14ac:dyDescent="0.35">
      <c r="A51" s="9" t="s">
        <v>310</v>
      </c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</row>
    <row r="52" spans="1:35" ht="26" x14ac:dyDescent="0.25">
      <c r="A52" s="7" t="s">
        <v>311</v>
      </c>
      <c r="AI52" s="20" t="s">
        <v>312</v>
      </c>
    </row>
    <row r="53" spans="1:35" x14ac:dyDescent="0.25">
      <c r="A53" s="7" t="s">
        <v>313</v>
      </c>
      <c r="V53" s="49" t="s">
        <v>314</v>
      </c>
      <c r="W53" s="49" t="s">
        <v>315</v>
      </c>
      <c r="X53" s="49" t="s">
        <v>316</v>
      </c>
      <c r="Y53" s="49" t="s">
        <v>317</v>
      </c>
    </row>
    <row r="54" spans="1:35" x14ac:dyDescent="0.25">
      <c r="A54" s="7" t="s">
        <v>318</v>
      </c>
      <c r="V54" s="26">
        <f>V7</f>
        <v>260</v>
      </c>
      <c r="W54" s="10"/>
      <c r="X54" s="42">
        <f>V11*0.01</f>
        <v>327.59999999999997</v>
      </c>
      <c r="Y54" s="10"/>
      <c r="AI54" s="20" t="s">
        <v>319</v>
      </c>
    </row>
    <row r="55" spans="1:35" x14ac:dyDescent="0.25">
      <c r="A55" s="7" t="s">
        <v>320</v>
      </c>
      <c r="V55" s="32">
        <f>V8</f>
        <v>0.72</v>
      </c>
      <c r="W55" s="10"/>
      <c r="X55" s="42">
        <f>V7*0.01*V10</f>
        <v>455</v>
      </c>
      <c r="Y55" s="10"/>
      <c r="AI55" s="20" t="s">
        <v>321</v>
      </c>
    </row>
    <row r="56" spans="1:35" x14ac:dyDescent="0.25">
      <c r="A56" s="7" t="s">
        <v>322</v>
      </c>
      <c r="V56" s="37">
        <f>V10</f>
        <v>175</v>
      </c>
      <c r="W56" s="10"/>
      <c r="X56" s="42">
        <f>V9</f>
        <v>187.2</v>
      </c>
      <c r="Y56" s="10"/>
      <c r="AI56" s="20" t="s">
        <v>323</v>
      </c>
    </row>
    <row r="57" spans="1:35" x14ac:dyDescent="0.25">
      <c r="A57" s="7" t="s">
        <v>324</v>
      </c>
      <c r="V57" s="26">
        <f>V18</f>
        <v>13.5</v>
      </c>
      <c r="W57" s="10"/>
      <c r="X57" s="42">
        <f>V22*0.01</f>
        <v>151.19999999999999</v>
      </c>
      <c r="Y57" s="10"/>
      <c r="AI57" s="20" t="s">
        <v>325</v>
      </c>
    </row>
    <row r="58" spans="1:35" x14ac:dyDescent="0.25">
      <c r="A58" s="7" t="s">
        <v>326</v>
      </c>
      <c r="V58" s="32">
        <f>V19</f>
        <v>0.7</v>
      </c>
      <c r="W58" s="10"/>
      <c r="X58" s="42">
        <f>V18*0.01*V21</f>
        <v>216</v>
      </c>
      <c r="Y58" s="10"/>
      <c r="AI58" s="20" t="s">
        <v>327</v>
      </c>
    </row>
    <row r="59" spans="1:35" x14ac:dyDescent="0.25">
      <c r="A59" s="7" t="s">
        <v>328</v>
      </c>
      <c r="V59" s="37">
        <f>V21</f>
        <v>1600</v>
      </c>
      <c r="W59" s="10"/>
      <c r="X59" s="42">
        <f>V20</f>
        <v>9.4499999999999993</v>
      </c>
      <c r="Y59" s="10"/>
      <c r="AI59" s="20" t="s">
        <v>329</v>
      </c>
    </row>
    <row r="60" spans="1:35" x14ac:dyDescent="0.25">
      <c r="A60" s="7" t="s">
        <v>330</v>
      </c>
      <c r="V60" s="26">
        <f>V23</f>
        <v>2800</v>
      </c>
      <c r="W60" s="10"/>
      <c r="X60" s="42" t="s">
        <v>331</v>
      </c>
      <c r="Y60" s="10"/>
      <c r="AI60" s="20" t="s">
        <v>332</v>
      </c>
    </row>
    <row r="61" spans="1:35" x14ac:dyDescent="0.25">
      <c r="A61" s="7" t="s">
        <v>333</v>
      </c>
      <c r="V61" s="26">
        <f>V31</f>
        <v>196.64999999999998</v>
      </c>
      <c r="W61" s="10"/>
      <c r="X61" s="42">
        <f>V33*0.01</f>
        <v>176.98499999999996</v>
      </c>
      <c r="Y61" s="10"/>
      <c r="AI61" s="20" t="s">
        <v>334</v>
      </c>
    </row>
    <row r="62" spans="1:35" x14ac:dyDescent="0.25">
      <c r="A62" s="7" t="s">
        <v>335</v>
      </c>
      <c r="V62" s="26">
        <f>V32</f>
        <v>90</v>
      </c>
      <c r="W62" s="10"/>
      <c r="X62" s="42">
        <f>V31</f>
        <v>196.64999999999998</v>
      </c>
      <c r="Y62" s="10"/>
      <c r="AI62" s="20" t="s">
        <v>336</v>
      </c>
    </row>
    <row r="63" spans="1:35" x14ac:dyDescent="0.25">
      <c r="A63" s="7" t="s">
        <v>337</v>
      </c>
      <c r="V63" s="26">
        <f>V42</f>
        <v>88</v>
      </c>
      <c r="W63" s="10"/>
      <c r="X63" s="42">
        <f>V44*0.01</f>
        <v>16.72</v>
      </c>
      <c r="Y63" s="10"/>
      <c r="AI63" s="20" t="s">
        <v>338</v>
      </c>
    </row>
    <row r="65" spans="1:6" x14ac:dyDescent="0.25">
      <c r="A65" s="7" t="s">
        <v>101</v>
      </c>
    </row>
    <row r="66" spans="1:6" ht="14.5" x14ac:dyDescent="0.3">
      <c r="A66" s="76" t="s">
        <v>102</v>
      </c>
      <c r="B66" s="69"/>
      <c r="C66" s="69"/>
      <c r="D66" s="69"/>
      <c r="E66" s="69"/>
      <c r="F66" s="69"/>
    </row>
    <row r="67" spans="1:6" ht="14.5" x14ac:dyDescent="0.3">
      <c r="A67" s="80" t="s">
        <v>103</v>
      </c>
      <c r="B67" s="69"/>
      <c r="C67" s="69"/>
      <c r="D67" s="69"/>
      <c r="E67" s="69"/>
      <c r="F67" s="69"/>
    </row>
    <row r="68" spans="1:6" ht="14.5" x14ac:dyDescent="0.3">
      <c r="A68" s="79" t="s">
        <v>104</v>
      </c>
      <c r="B68" s="69"/>
      <c r="C68" s="69"/>
      <c r="D68" s="69"/>
      <c r="E68" s="69"/>
      <c r="F68" s="69"/>
    </row>
    <row r="69" spans="1:6" ht="14.5" x14ac:dyDescent="0.3">
      <c r="A69" s="77" t="s">
        <v>105</v>
      </c>
      <c r="B69" s="69"/>
      <c r="C69" s="69"/>
      <c r="D69" s="69"/>
      <c r="E69" s="69"/>
      <c r="F69" s="69"/>
    </row>
    <row r="70" spans="1:6" ht="14.5" x14ac:dyDescent="0.3">
      <c r="A70" s="77" t="s">
        <v>106</v>
      </c>
      <c r="B70" s="69"/>
      <c r="C70" s="69"/>
      <c r="D70" s="69"/>
      <c r="E70" s="69"/>
      <c r="F70" s="69"/>
    </row>
    <row r="71" spans="1:6" x14ac:dyDescent="0.25">
      <c r="A71" s="69" t="s">
        <v>107</v>
      </c>
      <c r="B71" s="69"/>
      <c r="C71" s="69"/>
      <c r="D71" s="69"/>
      <c r="E71" s="69"/>
      <c r="F71" s="69"/>
    </row>
    <row r="73" spans="1:6" x14ac:dyDescent="0.25">
      <c r="A73" s="7" t="s">
        <v>108</v>
      </c>
    </row>
    <row r="74" spans="1:6" ht="14.5" x14ac:dyDescent="0.3">
      <c r="A74" s="74" t="s">
        <v>109</v>
      </c>
      <c r="B74" s="69"/>
      <c r="C74" s="69"/>
      <c r="D74" s="69"/>
      <c r="E74" s="69"/>
      <c r="F74" s="69"/>
    </row>
    <row r="75" spans="1:6" ht="14.5" x14ac:dyDescent="0.3">
      <c r="A75" s="74" t="s">
        <v>110</v>
      </c>
      <c r="B75" s="69"/>
      <c r="C75" s="69"/>
      <c r="D75" s="69"/>
      <c r="E75" s="69"/>
      <c r="F75" s="69"/>
    </row>
    <row r="76" spans="1:6" ht="14.5" x14ac:dyDescent="0.3">
      <c r="A76" s="74" t="s">
        <v>111</v>
      </c>
      <c r="B76" s="69"/>
      <c r="C76" s="69"/>
      <c r="D76" s="69"/>
      <c r="E76" s="69"/>
      <c r="F76" s="69"/>
    </row>
    <row r="77" spans="1:6" ht="14.5" x14ac:dyDescent="0.3">
      <c r="A77" s="74" t="s">
        <v>112</v>
      </c>
      <c r="B77" s="69"/>
      <c r="C77" s="69"/>
      <c r="D77" s="69"/>
      <c r="E77" s="69"/>
      <c r="F77" s="69"/>
    </row>
    <row r="78" spans="1:6" ht="14.5" x14ac:dyDescent="0.3">
      <c r="A78" s="74" t="s">
        <v>113</v>
      </c>
      <c r="B78" s="69"/>
      <c r="C78" s="69"/>
      <c r="D78" s="69"/>
      <c r="E78" s="69"/>
      <c r="F78" s="69"/>
    </row>
  </sheetData>
  <mergeCells count="13">
    <mergeCell ref="A1:AH1"/>
    <mergeCell ref="A78:F78"/>
    <mergeCell ref="A77:F77"/>
    <mergeCell ref="A69:F69"/>
    <mergeCell ref="A71:F71"/>
    <mergeCell ref="A76:F76"/>
    <mergeCell ref="A68:F68"/>
    <mergeCell ref="A2:AH2"/>
    <mergeCell ref="A66:F66"/>
    <mergeCell ref="A75:F75"/>
    <mergeCell ref="A70:F70"/>
    <mergeCell ref="A67:F67"/>
    <mergeCell ref="A74:F74"/>
  </mergeCells>
  <phoneticPr fontId="2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AI57"/>
  <sheetViews>
    <sheetView zoomScale="54" workbookViewId="0">
      <selection sqref="A1:AH1"/>
    </sheetView>
  </sheetViews>
  <sheetFormatPr defaultRowHeight="14" x14ac:dyDescent="0.25"/>
  <cols>
    <col min="1" max="1" width="44" customWidth="1"/>
    <col min="2" max="5" width="12" customWidth="1"/>
    <col min="6" max="6" width="15" customWidth="1"/>
    <col min="7" max="10" width="12" customWidth="1"/>
    <col min="11" max="11" width="15" customWidth="1"/>
    <col min="12" max="15" width="12" customWidth="1"/>
    <col min="16" max="16" width="15" customWidth="1"/>
    <col min="17" max="17" width="2" customWidth="1"/>
    <col min="18" max="21" width="12" customWidth="1"/>
    <col min="22" max="22" width="15" customWidth="1"/>
    <col min="23" max="26" width="12" customWidth="1"/>
    <col min="27" max="27" width="15" customWidth="1"/>
    <col min="28" max="31" width="12" customWidth="1"/>
    <col min="32" max="32" width="15" customWidth="1"/>
    <col min="33" max="33" width="12" customWidth="1"/>
    <col min="34" max="34" width="2" customWidth="1"/>
    <col min="35" max="35" width="55" customWidth="1"/>
  </cols>
  <sheetData>
    <row r="1" spans="1:35" ht="18.5" x14ac:dyDescent="0.45">
      <c r="A1" s="78" t="s">
        <v>339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</row>
    <row r="2" spans="1:35" ht="14.5" x14ac:dyDescent="0.3">
      <c r="A2" s="75" t="s">
        <v>43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</row>
    <row r="3" spans="1:35" x14ac:dyDescent="0.25">
      <c r="A3" s="11"/>
      <c r="B3" s="12" t="s">
        <v>117</v>
      </c>
      <c r="C3" s="12" t="s">
        <v>118</v>
      </c>
      <c r="D3" s="12" t="s">
        <v>119</v>
      </c>
      <c r="E3" s="12" t="s">
        <v>120</v>
      </c>
      <c r="F3" s="23" t="s">
        <v>121</v>
      </c>
      <c r="G3" s="12" t="s">
        <v>122</v>
      </c>
      <c r="H3" s="12" t="s">
        <v>123</v>
      </c>
      <c r="I3" s="12" t="s">
        <v>124</v>
      </c>
      <c r="J3" s="12" t="s">
        <v>125</v>
      </c>
      <c r="K3" s="23" t="s">
        <v>126</v>
      </c>
      <c r="L3" s="12" t="s">
        <v>127</v>
      </c>
      <c r="M3" s="12" t="s">
        <v>128</v>
      </c>
      <c r="N3" s="12" t="s">
        <v>129</v>
      </c>
      <c r="O3" s="12" t="s">
        <v>130</v>
      </c>
      <c r="P3" s="23" t="s">
        <v>131</v>
      </c>
      <c r="Q3" s="11"/>
      <c r="R3" s="12" t="s">
        <v>132</v>
      </c>
      <c r="S3" s="12" t="s">
        <v>133</v>
      </c>
      <c r="T3" s="12" t="s">
        <v>134</v>
      </c>
      <c r="U3" s="12" t="s">
        <v>135</v>
      </c>
      <c r="V3" s="23" t="s">
        <v>136</v>
      </c>
      <c r="W3" s="12" t="s">
        <v>137</v>
      </c>
      <c r="X3" s="12" t="s">
        <v>138</v>
      </c>
      <c r="Y3" s="12" t="s">
        <v>139</v>
      </c>
      <c r="Z3" s="12" t="s">
        <v>140</v>
      </c>
      <c r="AA3" s="23" t="s">
        <v>141</v>
      </c>
      <c r="AB3" s="12" t="s">
        <v>142</v>
      </c>
      <c r="AC3" s="12" t="s">
        <v>143</v>
      </c>
      <c r="AD3" s="12" t="s">
        <v>144</v>
      </c>
      <c r="AE3" s="12" t="s">
        <v>145</v>
      </c>
      <c r="AF3" s="23" t="s">
        <v>146</v>
      </c>
      <c r="AG3" s="12" t="s">
        <v>238</v>
      </c>
      <c r="AH3" s="11"/>
      <c r="AI3" s="12" t="s">
        <v>52</v>
      </c>
    </row>
    <row r="4" spans="1:35" ht="26" x14ac:dyDescent="0.25">
      <c r="A4" s="7" t="s">
        <v>340</v>
      </c>
      <c r="AI4" s="20" t="s">
        <v>341</v>
      </c>
    </row>
    <row r="5" spans="1:35" ht="24" x14ac:dyDescent="0.25">
      <c r="A5" s="18" t="s">
        <v>342</v>
      </c>
      <c r="B5" s="41">
        <v>8076.25</v>
      </c>
      <c r="C5" s="41">
        <v>8076.25</v>
      </c>
      <c r="D5" s="41">
        <v>8076.25</v>
      </c>
      <c r="E5" s="41">
        <v>8076.25</v>
      </c>
      <c r="F5" s="41">
        <v>32305</v>
      </c>
      <c r="G5" s="41">
        <v>8336.5</v>
      </c>
      <c r="H5" s="41">
        <v>8336.5</v>
      </c>
      <c r="I5" s="41">
        <v>8336.5</v>
      </c>
      <c r="J5" s="41">
        <v>8336.5</v>
      </c>
      <c r="K5" s="41">
        <v>33346</v>
      </c>
      <c r="L5" s="41">
        <v>7629</v>
      </c>
      <c r="M5" s="41">
        <v>8189</v>
      </c>
      <c r="N5" s="41">
        <v>8190</v>
      </c>
      <c r="O5" s="41">
        <v>8220</v>
      </c>
      <c r="P5" s="41">
        <v>32228</v>
      </c>
      <c r="Q5" s="10"/>
      <c r="R5" s="50">
        <f>Growth_Drivers!R11</f>
        <v>8189.9999999999991</v>
      </c>
      <c r="S5" s="50">
        <f>Growth_Drivers!S11</f>
        <v>8189.9999999999991</v>
      </c>
      <c r="T5" s="50">
        <f>Growth_Drivers!T11</f>
        <v>8189.9999999999991</v>
      </c>
      <c r="U5" s="50">
        <f>Growth_Drivers!U11</f>
        <v>8189.9999999999991</v>
      </c>
      <c r="V5" s="50">
        <f>SUM(R5:U5)</f>
        <v>32759.999999999996</v>
      </c>
      <c r="W5" s="50">
        <f>Growth_Drivers!W11</f>
        <v>8741.6875</v>
      </c>
      <c r="X5" s="50">
        <f>Growth_Drivers!X11</f>
        <v>8741.6875</v>
      </c>
      <c r="Y5" s="50">
        <f>Growth_Drivers!Y11</f>
        <v>8741.6875</v>
      </c>
      <c r="Z5" s="50">
        <f>Growth_Drivers!Z11</f>
        <v>8741.6875</v>
      </c>
      <c r="AA5" s="50">
        <f>SUM(W5:Z5)</f>
        <v>34966.75</v>
      </c>
      <c r="AB5" s="50">
        <f>Growth_Drivers!AB11</f>
        <v>9066.6</v>
      </c>
      <c r="AC5" s="50">
        <f>Growth_Drivers!AC11</f>
        <v>9066.6</v>
      </c>
      <c r="AD5" s="50">
        <f>Growth_Drivers!AD11</f>
        <v>9066.6</v>
      </c>
      <c r="AE5" s="50">
        <f>Growth_Drivers!AE11</f>
        <v>9066.6</v>
      </c>
      <c r="AF5" s="50">
        <f>SUM(AB5:AE5)</f>
        <v>36266.400000000001</v>
      </c>
      <c r="AH5" s="10"/>
      <c r="AI5" s="20" t="s">
        <v>343</v>
      </c>
    </row>
    <row r="6" spans="1:35" x14ac:dyDescent="0.25">
      <c r="K6" s="14">
        <f>K5/F5-1</f>
        <v>3.2224113914254726E-2</v>
      </c>
      <c r="P6" s="14">
        <f>P5/K5-1</f>
        <v>-3.3527259641336293E-2</v>
      </c>
      <c r="Q6" s="10"/>
      <c r="V6" s="14">
        <f>V5/P5-1</f>
        <v>1.6507384882710641E-2</v>
      </c>
      <c r="AA6" s="14">
        <f>AA5/V5-1</f>
        <v>6.7361111111111205E-2</v>
      </c>
      <c r="AF6" s="14">
        <f>AF5/AA5-1</f>
        <v>3.7168166901413446E-2</v>
      </c>
      <c r="AH6" s="10"/>
      <c r="AI6" s="20" t="s">
        <v>344</v>
      </c>
    </row>
    <row r="7" spans="1:35" ht="24" x14ac:dyDescent="0.25">
      <c r="A7" s="7" t="s">
        <v>345</v>
      </c>
      <c r="B7" s="41">
        <v>2532</v>
      </c>
      <c r="C7" s="41">
        <v>2532</v>
      </c>
      <c r="D7" s="41">
        <v>2532</v>
      </c>
      <c r="E7" s="41">
        <v>2532</v>
      </c>
      <c r="F7" s="41">
        <v>10128</v>
      </c>
      <c r="G7" s="41">
        <v>2898.5</v>
      </c>
      <c r="H7" s="41">
        <v>2898.5</v>
      </c>
      <c r="I7" s="41">
        <v>2898.5</v>
      </c>
      <c r="J7" s="41">
        <v>2898.5</v>
      </c>
      <c r="K7" s="41">
        <v>11594</v>
      </c>
      <c r="L7" s="41">
        <v>2329.25</v>
      </c>
      <c r="M7" s="41">
        <v>2329.25</v>
      </c>
      <c r="N7" s="41">
        <v>2329.25</v>
      </c>
      <c r="O7" s="41">
        <v>2329.25</v>
      </c>
      <c r="P7" s="41">
        <v>9317</v>
      </c>
      <c r="Q7" s="10"/>
      <c r="R7" s="42">
        <f>R5*Assumptions!R87</f>
        <v>2456.9999999999995</v>
      </c>
      <c r="S7" s="42">
        <f>S5*Assumptions!S87</f>
        <v>2456.9999999999995</v>
      </c>
      <c r="T7" s="42">
        <f>T5*Assumptions!T87</f>
        <v>2456.9999999999995</v>
      </c>
      <c r="U7" s="42">
        <f>U5*Assumptions!U87</f>
        <v>2456.9999999999995</v>
      </c>
      <c r="V7" s="42">
        <f>SUM(R7:U7)</f>
        <v>9827.9999999999982</v>
      </c>
      <c r="W7" s="42">
        <f>W5*Assumptions!W87</f>
        <v>2753.6315625000002</v>
      </c>
      <c r="X7" s="42">
        <f>X5*Assumptions!X87</f>
        <v>2753.6315625000002</v>
      </c>
      <c r="Y7" s="42">
        <f>Y5*Assumptions!Y87</f>
        <v>2753.6315625000002</v>
      </c>
      <c r="Z7" s="42">
        <f>Z5*Assumptions!Z87</f>
        <v>2753.6315625000002</v>
      </c>
      <c r="AA7" s="42">
        <f>SUM(W7:Z7)</f>
        <v>11014.526250000001</v>
      </c>
      <c r="AB7" s="42">
        <f>AB5*Assumptions!AB87</f>
        <v>2991.9780000000001</v>
      </c>
      <c r="AC7" s="42">
        <f>AC5*Assumptions!AC87</f>
        <v>2991.9780000000001</v>
      </c>
      <c r="AD7" s="42">
        <f>AD5*Assumptions!AD87</f>
        <v>2991.9780000000001</v>
      </c>
      <c r="AE7" s="42">
        <f>AE5*Assumptions!AE87</f>
        <v>2991.9780000000001</v>
      </c>
      <c r="AF7" s="42">
        <f>SUM(AB7:AE7)</f>
        <v>11967.912</v>
      </c>
      <c r="AH7" s="10"/>
      <c r="AI7" s="20" t="s">
        <v>346</v>
      </c>
    </row>
    <row r="8" spans="1:35" x14ac:dyDescent="0.25">
      <c r="A8" s="7" t="s">
        <v>347</v>
      </c>
      <c r="B8" s="14">
        <f t="shared" ref="B8:P8" si="0">B7/B5</f>
        <v>0.31351184027240364</v>
      </c>
      <c r="C8" s="14">
        <f t="shared" si="0"/>
        <v>0.31351184027240364</v>
      </c>
      <c r="D8" s="14">
        <f t="shared" si="0"/>
        <v>0.31351184027240364</v>
      </c>
      <c r="E8" s="14">
        <f t="shared" si="0"/>
        <v>0.31351184027240364</v>
      </c>
      <c r="F8" s="14">
        <f t="shared" si="0"/>
        <v>0.31351184027240364</v>
      </c>
      <c r="G8" s="14">
        <f t="shared" si="0"/>
        <v>0.34768787860612965</v>
      </c>
      <c r="H8" s="14">
        <f t="shared" si="0"/>
        <v>0.34768787860612965</v>
      </c>
      <c r="I8" s="14">
        <f t="shared" si="0"/>
        <v>0.34768787860612965</v>
      </c>
      <c r="J8" s="14">
        <f t="shared" si="0"/>
        <v>0.34768787860612965</v>
      </c>
      <c r="K8" s="14">
        <f t="shared" si="0"/>
        <v>0.34768787860612965</v>
      </c>
      <c r="L8" s="14">
        <f t="shared" si="0"/>
        <v>0.3053152444619216</v>
      </c>
      <c r="M8" s="14">
        <f t="shared" si="0"/>
        <v>0.28443643912565636</v>
      </c>
      <c r="N8" s="14">
        <f t="shared" si="0"/>
        <v>0.28440170940170939</v>
      </c>
      <c r="O8" s="14">
        <f t="shared" si="0"/>
        <v>0.28336374695863747</v>
      </c>
      <c r="P8" s="14">
        <f t="shared" si="0"/>
        <v>0.28909643788010425</v>
      </c>
      <c r="Q8" s="10"/>
      <c r="R8" s="14">
        <f t="shared" ref="R8:AF8" si="1">R7/R5</f>
        <v>0.3</v>
      </c>
      <c r="S8" s="14">
        <f t="shared" si="1"/>
        <v>0.3</v>
      </c>
      <c r="T8" s="14">
        <f t="shared" si="1"/>
        <v>0.3</v>
      </c>
      <c r="U8" s="14">
        <f t="shared" si="1"/>
        <v>0.3</v>
      </c>
      <c r="V8" s="14">
        <f t="shared" si="1"/>
        <v>0.3</v>
      </c>
      <c r="W8" s="14">
        <f t="shared" si="1"/>
        <v>0.315</v>
      </c>
      <c r="X8" s="14">
        <f t="shared" si="1"/>
        <v>0.315</v>
      </c>
      <c r="Y8" s="14">
        <f t="shared" si="1"/>
        <v>0.315</v>
      </c>
      <c r="Z8" s="14">
        <f t="shared" si="1"/>
        <v>0.315</v>
      </c>
      <c r="AA8" s="14">
        <f t="shared" si="1"/>
        <v>0.315</v>
      </c>
      <c r="AB8" s="14">
        <f t="shared" si="1"/>
        <v>0.33</v>
      </c>
      <c r="AC8" s="14">
        <f t="shared" si="1"/>
        <v>0.33</v>
      </c>
      <c r="AD8" s="14">
        <f t="shared" si="1"/>
        <v>0.33</v>
      </c>
      <c r="AE8" s="14">
        <f t="shared" si="1"/>
        <v>0.33</v>
      </c>
      <c r="AF8" s="14">
        <f t="shared" si="1"/>
        <v>0.33</v>
      </c>
      <c r="AH8" s="10"/>
    </row>
    <row r="10" spans="1:35" ht="24" x14ac:dyDescent="0.25">
      <c r="A10" s="18" t="s">
        <v>348</v>
      </c>
      <c r="B10" s="41">
        <v>3995</v>
      </c>
      <c r="C10" s="41">
        <v>3995</v>
      </c>
      <c r="D10" s="41">
        <v>3995</v>
      </c>
      <c r="E10" s="41">
        <v>3995</v>
      </c>
      <c r="F10" s="41">
        <v>15980</v>
      </c>
      <c r="G10" s="41">
        <v>4031.25</v>
      </c>
      <c r="H10" s="41">
        <v>4031.25</v>
      </c>
      <c r="I10" s="41">
        <v>4031.25</v>
      </c>
      <c r="J10" s="41">
        <v>4031.25</v>
      </c>
      <c r="K10" s="41">
        <v>16125</v>
      </c>
      <c r="L10" s="41">
        <v>4126</v>
      </c>
      <c r="M10" s="41">
        <v>4058</v>
      </c>
      <c r="N10" s="41">
        <v>4058</v>
      </c>
      <c r="O10" s="41">
        <v>4677</v>
      </c>
      <c r="P10" s="41">
        <v>16919</v>
      </c>
      <c r="Q10" s="10"/>
      <c r="R10" s="50">
        <f>Growth_Drivers!R24</f>
        <v>4480</v>
      </c>
      <c r="S10" s="50">
        <f>Growth_Drivers!S24</f>
        <v>4480</v>
      </c>
      <c r="T10" s="50">
        <f>Growth_Drivers!T24</f>
        <v>4480</v>
      </c>
      <c r="U10" s="50">
        <f>Growth_Drivers!U24</f>
        <v>4480</v>
      </c>
      <c r="V10" s="50">
        <f>SUM(R10:U10)</f>
        <v>17920</v>
      </c>
      <c r="W10" s="50">
        <f>Growth_Drivers!W24</f>
        <v>5438.7499999999991</v>
      </c>
      <c r="X10" s="50">
        <f>Growth_Drivers!X24</f>
        <v>5438.7499999999991</v>
      </c>
      <c r="Y10" s="50">
        <f>Growth_Drivers!Y24</f>
        <v>5438.7499999999991</v>
      </c>
      <c r="Z10" s="50">
        <f>Growth_Drivers!Z24</f>
        <v>5438.7499999999991</v>
      </c>
      <c r="AA10" s="50">
        <f>SUM(W10:Z10)</f>
        <v>21754.999999999996</v>
      </c>
      <c r="AB10" s="50">
        <f>Growth_Drivers!AB24</f>
        <v>6246.875</v>
      </c>
      <c r="AC10" s="50">
        <f>Growth_Drivers!AC24</f>
        <v>6246.875</v>
      </c>
      <c r="AD10" s="50">
        <f>Growth_Drivers!AD24</f>
        <v>6246.875</v>
      </c>
      <c r="AE10" s="50">
        <f>Growth_Drivers!AE24</f>
        <v>6246.875</v>
      </c>
      <c r="AF10" s="50">
        <f>SUM(AB10:AE10)</f>
        <v>24987.5</v>
      </c>
      <c r="AH10" s="10"/>
      <c r="AI10" s="20" t="s">
        <v>343</v>
      </c>
    </row>
    <row r="11" spans="1:35" x14ac:dyDescent="0.25">
      <c r="K11" s="14">
        <f>K10/F10-1</f>
        <v>9.0738423028786652E-3</v>
      </c>
      <c r="P11" s="14">
        <f>P10/K10-1</f>
        <v>4.9240310077519389E-2</v>
      </c>
      <c r="Q11" s="10"/>
      <c r="V11" s="14">
        <f>V10/P10-1</f>
        <v>5.9164253206454243E-2</v>
      </c>
      <c r="AA11" s="14">
        <f>AA10/V10-1</f>
        <v>0.21400669642857117</v>
      </c>
      <c r="AF11" s="14">
        <f>AF10/AA10-1</f>
        <v>0.14858653183176296</v>
      </c>
      <c r="AH11" s="10"/>
      <c r="AI11" s="20" t="s">
        <v>344</v>
      </c>
    </row>
    <row r="12" spans="1:35" ht="24" x14ac:dyDescent="0.25">
      <c r="A12" s="7" t="s">
        <v>345</v>
      </c>
      <c r="B12" s="41">
        <v>236.25</v>
      </c>
      <c r="C12" s="41">
        <v>236.25</v>
      </c>
      <c r="D12" s="41">
        <v>236.25</v>
      </c>
      <c r="E12" s="41">
        <v>236.25</v>
      </c>
      <c r="F12" s="41">
        <v>945</v>
      </c>
      <c r="G12" s="41">
        <v>353.5</v>
      </c>
      <c r="H12" s="41">
        <v>353.5</v>
      </c>
      <c r="I12" s="41">
        <v>353.5</v>
      </c>
      <c r="J12" s="41">
        <v>353.5</v>
      </c>
      <c r="K12" s="41">
        <v>1414</v>
      </c>
      <c r="L12" s="41">
        <v>855.5</v>
      </c>
      <c r="M12" s="41">
        <v>855.5</v>
      </c>
      <c r="N12" s="41">
        <v>855.5</v>
      </c>
      <c r="O12" s="41">
        <v>855.5</v>
      </c>
      <c r="P12" s="41">
        <v>3422</v>
      </c>
      <c r="Q12" s="10"/>
      <c r="R12" s="42">
        <f>R10*Assumptions!R93</f>
        <v>1254.4000000000001</v>
      </c>
      <c r="S12" s="42">
        <f>S10*Assumptions!S93</f>
        <v>1254.4000000000001</v>
      </c>
      <c r="T12" s="42">
        <f>T10*Assumptions!T93</f>
        <v>1254.4000000000001</v>
      </c>
      <c r="U12" s="42">
        <f>U10*Assumptions!U93</f>
        <v>1254.4000000000001</v>
      </c>
      <c r="V12" s="42">
        <f>SUM(R12:U12)</f>
        <v>5017.6000000000004</v>
      </c>
      <c r="W12" s="42">
        <f>W10*Assumptions!W93</f>
        <v>1522.85</v>
      </c>
      <c r="X12" s="42">
        <f>X10*Assumptions!X93</f>
        <v>1522.85</v>
      </c>
      <c r="Y12" s="42">
        <f>Y10*Assumptions!Y93</f>
        <v>1522.85</v>
      </c>
      <c r="Z12" s="42">
        <f>Z10*Assumptions!Z93</f>
        <v>1522.85</v>
      </c>
      <c r="AA12" s="42">
        <f>SUM(W12:Z12)</f>
        <v>6091.4</v>
      </c>
      <c r="AB12" s="42">
        <f>AB10*Assumptions!AB93</f>
        <v>1686.65625</v>
      </c>
      <c r="AC12" s="42">
        <f>AC10*Assumptions!AC93</f>
        <v>1686.65625</v>
      </c>
      <c r="AD12" s="42">
        <f>AD10*Assumptions!AD93</f>
        <v>1686.65625</v>
      </c>
      <c r="AE12" s="42">
        <f>AE10*Assumptions!AE93</f>
        <v>1686.65625</v>
      </c>
      <c r="AF12" s="42">
        <f>SUM(AB12:AE12)</f>
        <v>6746.625</v>
      </c>
      <c r="AH12" s="10"/>
      <c r="AI12" s="20" t="s">
        <v>346</v>
      </c>
    </row>
    <row r="13" spans="1:35" x14ac:dyDescent="0.25">
      <c r="A13" s="7" t="s">
        <v>347</v>
      </c>
      <c r="B13" s="14">
        <f t="shared" ref="B13:P13" si="2">B12/B10</f>
        <v>5.9136420525657069E-2</v>
      </c>
      <c r="C13" s="14">
        <f t="shared" si="2"/>
        <v>5.9136420525657069E-2</v>
      </c>
      <c r="D13" s="14">
        <f t="shared" si="2"/>
        <v>5.9136420525657069E-2</v>
      </c>
      <c r="E13" s="14">
        <f t="shared" si="2"/>
        <v>5.9136420525657069E-2</v>
      </c>
      <c r="F13" s="14">
        <f t="shared" si="2"/>
        <v>5.9136420525657069E-2</v>
      </c>
      <c r="G13" s="14">
        <f t="shared" si="2"/>
        <v>8.7689922480620158E-2</v>
      </c>
      <c r="H13" s="14">
        <f t="shared" si="2"/>
        <v>8.7689922480620158E-2</v>
      </c>
      <c r="I13" s="14">
        <f t="shared" si="2"/>
        <v>8.7689922480620158E-2</v>
      </c>
      <c r="J13" s="14">
        <f t="shared" si="2"/>
        <v>8.7689922480620158E-2</v>
      </c>
      <c r="K13" s="14">
        <f t="shared" si="2"/>
        <v>8.7689922480620158E-2</v>
      </c>
      <c r="L13" s="14">
        <f t="shared" si="2"/>
        <v>0.20734367426078526</v>
      </c>
      <c r="M13" s="14">
        <f t="shared" si="2"/>
        <v>0.21081813701330704</v>
      </c>
      <c r="N13" s="14">
        <f t="shared" si="2"/>
        <v>0.21081813701330704</v>
      </c>
      <c r="O13" s="14">
        <f t="shared" si="2"/>
        <v>0.18291639940132565</v>
      </c>
      <c r="P13" s="14">
        <f t="shared" si="2"/>
        <v>0.20225781665583073</v>
      </c>
      <c r="Q13" s="10"/>
      <c r="R13" s="14">
        <f t="shared" ref="R13:AF13" si="3">R12/R10</f>
        <v>0.28000000000000003</v>
      </c>
      <c r="S13" s="14">
        <f t="shared" si="3"/>
        <v>0.28000000000000003</v>
      </c>
      <c r="T13" s="14">
        <f t="shared" si="3"/>
        <v>0.28000000000000003</v>
      </c>
      <c r="U13" s="14">
        <f t="shared" si="3"/>
        <v>0.28000000000000003</v>
      </c>
      <c r="V13" s="14">
        <f t="shared" si="3"/>
        <v>0.28000000000000003</v>
      </c>
      <c r="W13" s="14">
        <f t="shared" si="3"/>
        <v>0.28000000000000003</v>
      </c>
      <c r="X13" s="14">
        <f t="shared" si="3"/>
        <v>0.28000000000000003</v>
      </c>
      <c r="Y13" s="14">
        <f t="shared" si="3"/>
        <v>0.28000000000000003</v>
      </c>
      <c r="Z13" s="14">
        <f t="shared" si="3"/>
        <v>0.28000000000000003</v>
      </c>
      <c r="AA13" s="14">
        <f t="shared" si="3"/>
        <v>0.28000000000000003</v>
      </c>
      <c r="AB13" s="14">
        <f t="shared" si="3"/>
        <v>0.27</v>
      </c>
      <c r="AC13" s="14">
        <f t="shared" si="3"/>
        <v>0.27</v>
      </c>
      <c r="AD13" s="14">
        <f t="shared" si="3"/>
        <v>0.27</v>
      </c>
      <c r="AE13" s="14">
        <f t="shared" si="3"/>
        <v>0.27</v>
      </c>
      <c r="AF13" s="14">
        <f t="shared" si="3"/>
        <v>0.27</v>
      </c>
      <c r="AH13" s="10"/>
    </row>
    <row r="15" spans="1:35" ht="24" x14ac:dyDescent="0.25">
      <c r="A15" s="18" t="s">
        <v>349</v>
      </c>
      <c r="B15" s="41">
        <v>4626</v>
      </c>
      <c r="C15" s="41">
        <v>4626</v>
      </c>
      <c r="D15" s="41">
        <v>4626</v>
      </c>
      <c r="E15" s="41">
        <v>4626</v>
      </c>
      <c r="F15" s="41">
        <v>18504</v>
      </c>
      <c r="G15" s="41">
        <v>4329.25</v>
      </c>
      <c r="H15" s="41">
        <v>4329.25</v>
      </c>
      <c r="I15" s="41">
        <v>4329.25</v>
      </c>
      <c r="J15" s="41">
        <v>4329.25</v>
      </c>
      <c r="K15" s="41">
        <v>17317</v>
      </c>
      <c r="L15" s="41">
        <v>4667</v>
      </c>
      <c r="M15" s="41">
        <v>4321</v>
      </c>
      <c r="N15" s="41">
        <v>4320</v>
      </c>
      <c r="O15" s="41">
        <v>4518</v>
      </c>
      <c r="P15" s="41">
        <v>17826</v>
      </c>
      <c r="Q15" s="10"/>
      <c r="R15" s="50">
        <f>Growth_Drivers!R35</f>
        <v>4599.6249999999991</v>
      </c>
      <c r="S15" s="50">
        <f>Growth_Drivers!S35</f>
        <v>4599.6249999999991</v>
      </c>
      <c r="T15" s="50">
        <f>Growth_Drivers!T35</f>
        <v>4599.6249999999991</v>
      </c>
      <c r="U15" s="50">
        <f>Growth_Drivers!U35</f>
        <v>4599.6249999999991</v>
      </c>
      <c r="V15" s="50">
        <f>SUM(R15:U15)</f>
        <v>18398.499999999996</v>
      </c>
      <c r="W15" s="50">
        <f>Growth_Drivers!W35</f>
        <v>5027.3249999999998</v>
      </c>
      <c r="X15" s="50">
        <f>Growth_Drivers!X35</f>
        <v>5027.3249999999998</v>
      </c>
      <c r="Y15" s="50">
        <f>Growth_Drivers!Y35</f>
        <v>5027.3249999999998</v>
      </c>
      <c r="Z15" s="50">
        <f>Growth_Drivers!Z35</f>
        <v>5027.3249999999998</v>
      </c>
      <c r="AA15" s="50">
        <f>SUM(W15:Z15)</f>
        <v>20109.3</v>
      </c>
      <c r="AB15" s="50">
        <f>Growth_Drivers!AB35</f>
        <v>5563.8125</v>
      </c>
      <c r="AC15" s="50">
        <f>Growth_Drivers!AC35</f>
        <v>5563.8125</v>
      </c>
      <c r="AD15" s="50">
        <f>Growth_Drivers!AD35</f>
        <v>5563.8125</v>
      </c>
      <c r="AE15" s="50">
        <f>Growth_Drivers!AE35</f>
        <v>5563.8125</v>
      </c>
      <c r="AF15" s="50">
        <f>SUM(AB15:AE15)</f>
        <v>22255.25</v>
      </c>
      <c r="AH15" s="10"/>
      <c r="AI15" s="20" t="s">
        <v>343</v>
      </c>
    </row>
    <row r="16" spans="1:35" x14ac:dyDescent="0.25">
      <c r="K16" s="14">
        <f>K15/F15-1</f>
        <v>-6.4148292261132722E-2</v>
      </c>
      <c r="P16" s="14">
        <f>P15/K15-1</f>
        <v>2.9393081942599819E-2</v>
      </c>
      <c r="Q16" s="10"/>
      <c r="V16" s="14">
        <f>V15/P15-1</f>
        <v>3.2116010322001287E-2</v>
      </c>
      <c r="AA16" s="14">
        <f>AA15/V15-1</f>
        <v>9.2985841237057443E-2</v>
      </c>
      <c r="AF16" s="14">
        <f>AF15/AA15-1</f>
        <v>0.10671430631598322</v>
      </c>
      <c r="AH16" s="10"/>
      <c r="AI16" s="20" t="s">
        <v>344</v>
      </c>
    </row>
    <row r="17" spans="1:35" ht="24" x14ac:dyDescent="0.25">
      <c r="A17" s="7" t="s">
        <v>345</v>
      </c>
      <c r="B17" s="41">
        <v>-1770.75</v>
      </c>
      <c r="C17" s="41">
        <v>-1770.75</v>
      </c>
      <c r="D17" s="41">
        <v>-1770.75</v>
      </c>
      <c r="E17" s="41">
        <v>-1770.75</v>
      </c>
      <c r="F17" s="41">
        <v>-7083</v>
      </c>
      <c r="G17" s="41">
        <v>-3322.75</v>
      </c>
      <c r="H17" s="41">
        <v>-3322.75</v>
      </c>
      <c r="I17" s="41">
        <v>-3322.75</v>
      </c>
      <c r="J17" s="41">
        <v>-3322.75</v>
      </c>
      <c r="K17" s="41">
        <v>-13291</v>
      </c>
      <c r="L17" s="41">
        <v>-2579.5</v>
      </c>
      <c r="M17" s="41">
        <v>-2579.5</v>
      </c>
      <c r="N17" s="41">
        <v>-2579.5</v>
      </c>
      <c r="O17" s="41">
        <v>-2579.5</v>
      </c>
      <c r="P17" s="41">
        <v>-10318</v>
      </c>
      <c r="Q17" s="10"/>
      <c r="R17" s="42">
        <f>R15*Assumptions!R99</f>
        <v>-1931.8424999999995</v>
      </c>
      <c r="S17" s="42">
        <f>S15*Assumptions!S99</f>
        <v>-1931.8424999999995</v>
      </c>
      <c r="T17" s="42">
        <f>T15*Assumptions!T99</f>
        <v>-1931.8424999999995</v>
      </c>
      <c r="U17" s="42">
        <f>U15*Assumptions!U99</f>
        <v>-1931.8424999999995</v>
      </c>
      <c r="V17" s="42">
        <f>SUM(R17:U17)</f>
        <v>-7727.3699999999981</v>
      </c>
      <c r="W17" s="42">
        <f>W15*Assumptions!W99</f>
        <v>-1608.7439999999999</v>
      </c>
      <c r="X17" s="42">
        <f>X15*Assumptions!X99</f>
        <v>-1608.7439999999999</v>
      </c>
      <c r="Y17" s="42">
        <f>Y15*Assumptions!Y99</f>
        <v>-1608.7439999999999</v>
      </c>
      <c r="Z17" s="42">
        <f>Z15*Assumptions!Z99</f>
        <v>-1608.7439999999999</v>
      </c>
      <c r="AA17" s="42">
        <f>SUM(W17:Z17)</f>
        <v>-6434.9759999999997</v>
      </c>
      <c r="AB17" s="42">
        <f>AB15*Assumptions!AB99</f>
        <v>-1224.0387499999999</v>
      </c>
      <c r="AC17" s="42">
        <f>AC15*Assumptions!AC99</f>
        <v>-1224.0387499999999</v>
      </c>
      <c r="AD17" s="42">
        <f>AD15*Assumptions!AD99</f>
        <v>-1224.0387499999999</v>
      </c>
      <c r="AE17" s="42">
        <f>AE15*Assumptions!AE99</f>
        <v>-1224.0387499999999</v>
      </c>
      <c r="AF17" s="42">
        <f>SUM(AB17:AE17)</f>
        <v>-4896.1549999999997</v>
      </c>
      <c r="AH17" s="10"/>
      <c r="AI17" s="20" t="s">
        <v>346</v>
      </c>
    </row>
    <row r="18" spans="1:35" x14ac:dyDescent="0.25">
      <c r="A18" s="7" t="s">
        <v>347</v>
      </c>
      <c r="B18" s="14">
        <f t="shared" ref="B18:P18" si="4">B17/B15</f>
        <v>-0.38278210116731515</v>
      </c>
      <c r="C18" s="14">
        <f t="shared" si="4"/>
        <v>-0.38278210116731515</v>
      </c>
      <c r="D18" s="14">
        <f t="shared" si="4"/>
        <v>-0.38278210116731515</v>
      </c>
      <c r="E18" s="14">
        <f t="shared" si="4"/>
        <v>-0.38278210116731515</v>
      </c>
      <c r="F18" s="14">
        <f t="shared" si="4"/>
        <v>-0.38278210116731515</v>
      </c>
      <c r="G18" s="14">
        <f t="shared" si="4"/>
        <v>-0.76751169371138184</v>
      </c>
      <c r="H18" s="14">
        <f t="shared" si="4"/>
        <v>-0.76751169371138184</v>
      </c>
      <c r="I18" s="14">
        <f t="shared" si="4"/>
        <v>-0.76751169371138184</v>
      </c>
      <c r="J18" s="14">
        <f t="shared" si="4"/>
        <v>-0.76751169371138184</v>
      </c>
      <c r="K18" s="14">
        <f t="shared" si="4"/>
        <v>-0.76751169371138184</v>
      </c>
      <c r="L18" s="14">
        <f t="shared" si="4"/>
        <v>-0.55271052067709447</v>
      </c>
      <c r="M18" s="14">
        <f t="shared" si="4"/>
        <v>-0.59696829437630183</v>
      </c>
      <c r="N18" s="14">
        <f t="shared" si="4"/>
        <v>-0.59710648148148149</v>
      </c>
      <c r="O18" s="14">
        <f t="shared" si="4"/>
        <v>-0.57093846834882689</v>
      </c>
      <c r="P18" s="14">
        <f t="shared" si="4"/>
        <v>-0.5788174576461349</v>
      </c>
      <c r="Q18" s="10"/>
      <c r="R18" s="14">
        <f t="shared" ref="R18:AF18" si="5">R17/R15</f>
        <v>-0.42</v>
      </c>
      <c r="S18" s="14">
        <f t="shared" si="5"/>
        <v>-0.42</v>
      </c>
      <c r="T18" s="14">
        <f t="shared" si="5"/>
        <v>-0.42</v>
      </c>
      <c r="U18" s="14">
        <f t="shared" si="5"/>
        <v>-0.42</v>
      </c>
      <c r="V18" s="14">
        <f t="shared" si="5"/>
        <v>-0.42</v>
      </c>
      <c r="W18" s="14">
        <f t="shared" si="5"/>
        <v>-0.32</v>
      </c>
      <c r="X18" s="14">
        <f t="shared" si="5"/>
        <v>-0.32</v>
      </c>
      <c r="Y18" s="14">
        <f t="shared" si="5"/>
        <v>-0.32</v>
      </c>
      <c r="Z18" s="14">
        <f t="shared" si="5"/>
        <v>-0.32</v>
      </c>
      <c r="AA18" s="14">
        <f t="shared" si="5"/>
        <v>-0.32</v>
      </c>
      <c r="AB18" s="14">
        <f t="shared" si="5"/>
        <v>-0.22</v>
      </c>
      <c r="AC18" s="14">
        <f t="shared" si="5"/>
        <v>-0.22</v>
      </c>
      <c r="AD18" s="14">
        <f t="shared" si="5"/>
        <v>-0.22</v>
      </c>
      <c r="AE18" s="14">
        <f t="shared" si="5"/>
        <v>-0.22</v>
      </c>
      <c r="AF18" s="14">
        <f t="shared" si="5"/>
        <v>-0.22</v>
      </c>
      <c r="AH18" s="10"/>
    </row>
    <row r="20" spans="1:35" ht="24" x14ac:dyDescent="0.25">
      <c r="A20" s="18" t="s">
        <v>350</v>
      </c>
      <c r="B20" s="41">
        <v>1365.75</v>
      </c>
      <c r="C20" s="41">
        <v>1365.75</v>
      </c>
      <c r="D20" s="41">
        <v>1365.75</v>
      </c>
      <c r="E20" s="41">
        <v>1365.75</v>
      </c>
      <c r="F20" s="41">
        <v>5463</v>
      </c>
      <c r="G20" s="41">
        <v>900.25</v>
      </c>
      <c r="H20" s="41">
        <v>900.25</v>
      </c>
      <c r="I20" s="41">
        <v>900.25</v>
      </c>
      <c r="J20" s="41">
        <v>900.25</v>
      </c>
      <c r="K20" s="41">
        <v>3601</v>
      </c>
      <c r="L20" s="41">
        <v>943</v>
      </c>
      <c r="M20" s="41">
        <v>1022</v>
      </c>
      <c r="N20" s="41">
        <v>1022</v>
      </c>
      <c r="O20" s="41">
        <v>576</v>
      </c>
      <c r="P20" s="41">
        <v>3563</v>
      </c>
      <c r="Q20" s="10"/>
      <c r="R20" s="50">
        <f>Growth_Drivers!R46</f>
        <v>868</v>
      </c>
      <c r="S20" s="50">
        <f>Growth_Drivers!S46</f>
        <v>868</v>
      </c>
      <c r="T20" s="50">
        <f>Growth_Drivers!T46</f>
        <v>868</v>
      </c>
      <c r="U20" s="50">
        <f>Growth_Drivers!U46</f>
        <v>868</v>
      </c>
      <c r="V20" s="50">
        <f>SUM(R20:U20)</f>
        <v>3472</v>
      </c>
      <c r="W20" s="50">
        <f>Growth_Drivers!W46</f>
        <v>945</v>
      </c>
      <c r="X20" s="50">
        <f>Growth_Drivers!X46</f>
        <v>945</v>
      </c>
      <c r="Y20" s="50">
        <f>Growth_Drivers!Y46</f>
        <v>945</v>
      </c>
      <c r="Z20" s="50">
        <f>Growth_Drivers!Z46</f>
        <v>945</v>
      </c>
      <c r="AA20" s="50">
        <f>SUM(W20:Z20)</f>
        <v>3780</v>
      </c>
      <c r="AB20" s="50">
        <f>Growth_Drivers!AB46</f>
        <v>1022.5</v>
      </c>
      <c r="AC20" s="50">
        <f>Growth_Drivers!AC46</f>
        <v>1022.5</v>
      </c>
      <c r="AD20" s="50">
        <f>Growth_Drivers!AD46</f>
        <v>1022.5</v>
      </c>
      <c r="AE20" s="50">
        <f>Growth_Drivers!AE46</f>
        <v>1022.5</v>
      </c>
      <c r="AF20" s="50">
        <f>SUM(AB20:AE20)</f>
        <v>4090</v>
      </c>
      <c r="AH20" s="10"/>
      <c r="AI20" s="20" t="s">
        <v>343</v>
      </c>
    </row>
    <row r="21" spans="1:35" x14ac:dyDescent="0.25">
      <c r="K21" s="14">
        <f>K20/F20-1</f>
        <v>-0.34083836719751048</v>
      </c>
      <c r="P21" s="14">
        <f>P20/K20-1</f>
        <v>-1.0552624271035871E-2</v>
      </c>
      <c r="Q21" s="10"/>
      <c r="V21" s="14">
        <f>V20/P20-1</f>
        <v>-2.5540275049115935E-2</v>
      </c>
      <c r="AA21" s="14">
        <f>AA20/V20-1</f>
        <v>8.870967741935476E-2</v>
      </c>
      <c r="AF21" s="14">
        <f>AF20/AA20-1</f>
        <v>8.2010582010582089E-2</v>
      </c>
      <c r="AH21" s="10"/>
      <c r="AI21" s="20" t="s">
        <v>344</v>
      </c>
    </row>
    <row r="22" spans="1:35" ht="24" x14ac:dyDescent="0.25">
      <c r="A22" s="7" t="s">
        <v>345</v>
      </c>
      <c r="B22" s="41">
        <v>376.75</v>
      </c>
      <c r="C22" s="41">
        <v>376.75</v>
      </c>
      <c r="D22" s="41">
        <v>376.75</v>
      </c>
      <c r="E22" s="41">
        <v>376.75</v>
      </c>
      <c r="F22" s="41">
        <v>1507</v>
      </c>
      <c r="G22" s="41">
        <v>-14.25</v>
      </c>
      <c r="H22" s="41">
        <v>-14.25</v>
      </c>
      <c r="I22" s="41">
        <v>-14.25</v>
      </c>
      <c r="J22" s="41">
        <v>-14.25</v>
      </c>
      <c r="K22" s="41">
        <v>-57</v>
      </c>
      <c r="L22" s="41">
        <v>66</v>
      </c>
      <c r="M22" s="41">
        <v>66</v>
      </c>
      <c r="N22" s="41">
        <v>66</v>
      </c>
      <c r="O22" s="41">
        <v>66</v>
      </c>
      <c r="P22" s="41">
        <v>264</v>
      </c>
      <c r="Q22" s="10"/>
      <c r="R22" s="42">
        <f>R20*Assumptions!R105</f>
        <v>121.52000000000001</v>
      </c>
      <c r="S22" s="42">
        <f>S20*Assumptions!S105</f>
        <v>121.52000000000001</v>
      </c>
      <c r="T22" s="42">
        <f>T20*Assumptions!T105</f>
        <v>121.52000000000001</v>
      </c>
      <c r="U22" s="42">
        <f>U20*Assumptions!U105</f>
        <v>121.52000000000001</v>
      </c>
      <c r="V22" s="42">
        <f>SUM(R22:U22)</f>
        <v>486.08000000000004</v>
      </c>
      <c r="W22" s="42">
        <f>W20*Assumptions!W105</f>
        <v>170.1</v>
      </c>
      <c r="X22" s="42">
        <f>X20*Assumptions!X105</f>
        <v>170.1</v>
      </c>
      <c r="Y22" s="42">
        <f>Y20*Assumptions!Y105</f>
        <v>170.1</v>
      </c>
      <c r="Z22" s="42">
        <f>Z20*Assumptions!Z105</f>
        <v>170.1</v>
      </c>
      <c r="AA22" s="42">
        <f>SUM(W22:Z22)</f>
        <v>680.4</v>
      </c>
      <c r="AB22" s="42">
        <f>AB20*Assumptions!AB105</f>
        <v>204.5</v>
      </c>
      <c r="AC22" s="42">
        <f>AC20*Assumptions!AC105</f>
        <v>204.5</v>
      </c>
      <c r="AD22" s="42">
        <f>AD20*Assumptions!AD105</f>
        <v>204.5</v>
      </c>
      <c r="AE22" s="42">
        <f>AE20*Assumptions!AE105</f>
        <v>204.5</v>
      </c>
      <c r="AF22" s="42">
        <f>SUM(AB22:AE22)</f>
        <v>818</v>
      </c>
      <c r="AH22" s="10"/>
      <c r="AI22" s="20" t="s">
        <v>346</v>
      </c>
    </row>
    <row r="23" spans="1:35" x14ac:dyDescent="0.25">
      <c r="A23" s="7" t="s">
        <v>347</v>
      </c>
      <c r="B23" s="14">
        <f t="shared" ref="B23:P23" si="6">B22/B20</f>
        <v>0.27585575691012265</v>
      </c>
      <c r="C23" s="14">
        <f t="shared" si="6"/>
        <v>0.27585575691012265</v>
      </c>
      <c r="D23" s="14">
        <f t="shared" si="6"/>
        <v>0.27585575691012265</v>
      </c>
      <c r="E23" s="14">
        <f t="shared" si="6"/>
        <v>0.27585575691012265</v>
      </c>
      <c r="F23" s="14">
        <f t="shared" si="6"/>
        <v>0.27585575691012265</v>
      </c>
      <c r="G23" s="14">
        <f t="shared" si="6"/>
        <v>-1.5828936406553733E-2</v>
      </c>
      <c r="H23" s="14">
        <f t="shared" si="6"/>
        <v>-1.5828936406553733E-2</v>
      </c>
      <c r="I23" s="14">
        <f t="shared" si="6"/>
        <v>-1.5828936406553733E-2</v>
      </c>
      <c r="J23" s="14">
        <f t="shared" si="6"/>
        <v>-1.5828936406553733E-2</v>
      </c>
      <c r="K23" s="14">
        <f t="shared" si="6"/>
        <v>-1.5828936406553733E-2</v>
      </c>
      <c r="L23" s="14">
        <f t="shared" si="6"/>
        <v>6.9989395546129374E-2</v>
      </c>
      <c r="M23" s="14">
        <f t="shared" si="6"/>
        <v>6.4579256360078274E-2</v>
      </c>
      <c r="N23" s="14">
        <f t="shared" si="6"/>
        <v>6.4579256360078274E-2</v>
      </c>
      <c r="O23" s="14">
        <f t="shared" si="6"/>
        <v>0.11458333333333333</v>
      </c>
      <c r="P23" s="14">
        <f t="shared" si="6"/>
        <v>7.4094863878753858E-2</v>
      </c>
      <c r="Q23" s="10"/>
      <c r="R23" s="14">
        <f t="shared" ref="R23:AF23" si="7">R22/R20</f>
        <v>0.14000000000000001</v>
      </c>
      <c r="S23" s="14">
        <f t="shared" si="7"/>
        <v>0.14000000000000001</v>
      </c>
      <c r="T23" s="14">
        <f t="shared" si="7"/>
        <v>0.14000000000000001</v>
      </c>
      <c r="U23" s="14">
        <f t="shared" si="7"/>
        <v>0.14000000000000001</v>
      </c>
      <c r="V23" s="14">
        <f t="shared" si="7"/>
        <v>0.14000000000000001</v>
      </c>
      <c r="W23" s="14">
        <f t="shared" si="7"/>
        <v>0.18</v>
      </c>
      <c r="X23" s="14">
        <f t="shared" si="7"/>
        <v>0.18</v>
      </c>
      <c r="Y23" s="14">
        <f t="shared" si="7"/>
        <v>0.18</v>
      </c>
      <c r="Z23" s="14">
        <f t="shared" si="7"/>
        <v>0.18</v>
      </c>
      <c r="AA23" s="14">
        <f t="shared" si="7"/>
        <v>0.18</v>
      </c>
      <c r="AB23" s="14">
        <f t="shared" si="7"/>
        <v>0.2</v>
      </c>
      <c r="AC23" s="14">
        <f t="shared" si="7"/>
        <v>0.2</v>
      </c>
      <c r="AD23" s="14">
        <f t="shared" si="7"/>
        <v>0.2</v>
      </c>
      <c r="AE23" s="14">
        <f t="shared" si="7"/>
        <v>0.2</v>
      </c>
      <c r="AF23" s="14">
        <f t="shared" si="7"/>
        <v>0.2</v>
      </c>
      <c r="AH23" s="10"/>
    </row>
    <row r="25" spans="1:35" ht="15" x14ac:dyDescent="0.35">
      <c r="A25" s="9" t="s">
        <v>351</v>
      </c>
      <c r="B25" s="10"/>
      <c r="C25" s="10"/>
      <c r="D25" s="10"/>
      <c r="E25" s="10"/>
      <c r="F25" s="41">
        <v>-5199</v>
      </c>
      <c r="G25" s="10"/>
      <c r="H25" s="10"/>
      <c r="I25" s="10"/>
      <c r="J25" s="10"/>
      <c r="K25" s="41">
        <v>-11177</v>
      </c>
      <c r="L25" s="10"/>
      <c r="M25" s="10"/>
      <c r="N25" s="10"/>
      <c r="O25" s="10"/>
      <c r="P25" s="41">
        <v>-5518</v>
      </c>
      <c r="Q25" s="10"/>
      <c r="R25" s="10"/>
      <c r="S25" s="10"/>
      <c r="T25" s="10"/>
      <c r="U25" s="10"/>
      <c r="V25" s="17">
        <f>Assumptions!V239</f>
        <v>-5000</v>
      </c>
      <c r="W25" s="10"/>
      <c r="X25" s="10"/>
      <c r="Y25" s="10"/>
      <c r="Z25" s="10"/>
      <c r="AA25" s="17">
        <f>Assumptions!AA239</f>
        <v>-4500</v>
      </c>
      <c r="AB25" s="10"/>
      <c r="AC25" s="10"/>
      <c r="AD25" s="10"/>
      <c r="AE25" s="10"/>
      <c r="AF25" s="17">
        <f>Assumptions!AF239</f>
        <v>-4000</v>
      </c>
      <c r="AG25" s="10"/>
      <c r="AH25" s="10"/>
      <c r="AI25" s="20" t="s">
        <v>352</v>
      </c>
    </row>
    <row r="26" spans="1:35" ht="15" x14ac:dyDescent="0.35">
      <c r="A26" s="9" t="s">
        <v>353</v>
      </c>
      <c r="B26" s="13">
        <f t="shared" ref="B26:P26" si="8">B7+B12+B17+B22+B25</f>
        <v>1374.25</v>
      </c>
      <c r="C26" s="13">
        <f t="shared" si="8"/>
        <v>1374.25</v>
      </c>
      <c r="D26" s="13">
        <f t="shared" si="8"/>
        <v>1374.25</v>
      </c>
      <c r="E26" s="13">
        <f t="shared" si="8"/>
        <v>1374.25</v>
      </c>
      <c r="F26" s="13">
        <f t="shared" si="8"/>
        <v>298</v>
      </c>
      <c r="G26" s="13">
        <f t="shared" si="8"/>
        <v>-85</v>
      </c>
      <c r="H26" s="13">
        <f t="shared" si="8"/>
        <v>-85</v>
      </c>
      <c r="I26" s="13">
        <f t="shared" si="8"/>
        <v>-85</v>
      </c>
      <c r="J26" s="13">
        <f t="shared" si="8"/>
        <v>-85</v>
      </c>
      <c r="K26" s="13">
        <f t="shared" si="8"/>
        <v>-11517</v>
      </c>
      <c r="L26" s="13">
        <f t="shared" si="8"/>
        <v>671.25</v>
      </c>
      <c r="M26" s="13">
        <f t="shared" si="8"/>
        <v>671.25</v>
      </c>
      <c r="N26" s="13">
        <f t="shared" si="8"/>
        <v>671.25</v>
      </c>
      <c r="O26" s="13">
        <f t="shared" si="8"/>
        <v>671.25</v>
      </c>
      <c r="P26" s="13">
        <f t="shared" si="8"/>
        <v>-2833</v>
      </c>
      <c r="Q26" s="10"/>
      <c r="R26" s="13">
        <f t="shared" ref="R26:AF26" si="9">R7+R12+R17+R22+R25</f>
        <v>1901.0775000000001</v>
      </c>
      <c r="S26" s="13">
        <f t="shared" si="9"/>
        <v>1901.0775000000001</v>
      </c>
      <c r="T26" s="13">
        <f t="shared" si="9"/>
        <v>1901.0775000000001</v>
      </c>
      <c r="U26" s="13">
        <f t="shared" si="9"/>
        <v>1901.0775000000001</v>
      </c>
      <c r="V26" s="13">
        <f t="shared" si="9"/>
        <v>2604.3100000000004</v>
      </c>
      <c r="W26" s="13">
        <f t="shared" si="9"/>
        <v>2837.8375625000003</v>
      </c>
      <c r="X26" s="13">
        <f t="shared" si="9"/>
        <v>2837.8375625000003</v>
      </c>
      <c r="Y26" s="13">
        <f t="shared" si="9"/>
        <v>2837.8375625000003</v>
      </c>
      <c r="Z26" s="13">
        <f t="shared" si="9"/>
        <v>2837.8375625000003</v>
      </c>
      <c r="AA26" s="13">
        <f t="shared" si="9"/>
        <v>6851.3502500000013</v>
      </c>
      <c r="AB26" s="13">
        <f t="shared" si="9"/>
        <v>3659.0955000000004</v>
      </c>
      <c r="AC26" s="13">
        <f t="shared" si="9"/>
        <v>3659.0955000000004</v>
      </c>
      <c r="AD26" s="13">
        <f t="shared" si="9"/>
        <v>3659.0955000000004</v>
      </c>
      <c r="AE26" s="13">
        <f t="shared" si="9"/>
        <v>3659.0955000000004</v>
      </c>
      <c r="AF26" s="13">
        <f t="shared" si="9"/>
        <v>10636.382000000001</v>
      </c>
      <c r="AG26" s="10"/>
      <c r="AH26" s="10"/>
      <c r="AI26" s="20" t="s">
        <v>354</v>
      </c>
    </row>
    <row r="28" spans="1:35" ht="15" x14ac:dyDescent="0.35">
      <c r="A28" s="9" t="s">
        <v>355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</row>
    <row r="29" spans="1:35" x14ac:dyDescent="0.25">
      <c r="A29" s="7" t="s">
        <v>356</v>
      </c>
      <c r="B29" s="10"/>
      <c r="C29" s="10"/>
      <c r="D29" s="10"/>
      <c r="E29" s="10"/>
      <c r="F29" s="42">
        <f>F26</f>
        <v>298</v>
      </c>
      <c r="G29" s="10"/>
      <c r="H29" s="10"/>
      <c r="I29" s="10"/>
      <c r="J29" s="10"/>
      <c r="K29" s="42">
        <f>K26</f>
        <v>-11517</v>
      </c>
      <c r="L29" s="10"/>
      <c r="M29" s="10"/>
      <c r="N29" s="10"/>
      <c r="O29" s="10"/>
      <c r="P29" s="42">
        <f>P26</f>
        <v>-2833</v>
      </c>
      <c r="R29" s="10"/>
      <c r="S29" s="10"/>
      <c r="T29" s="10"/>
      <c r="U29" s="10"/>
      <c r="V29" s="42">
        <f>V26</f>
        <v>2604.3100000000004</v>
      </c>
      <c r="W29" s="10"/>
      <c r="X29" s="10"/>
      <c r="Y29" s="10"/>
      <c r="Z29" s="10"/>
      <c r="AA29" s="42">
        <f>AA26</f>
        <v>6851.3502500000013</v>
      </c>
      <c r="AB29" s="10"/>
      <c r="AC29" s="10"/>
      <c r="AD29" s="10"/>
      <c r="AE29" s="10"/>
      <c r="AF29" s="42">
        <f>AF26</f>
        <v>10636.382000000001</v>
      </c>
    </row>
    <row r="30" spans="1:35" x14ac:dyDescent="0.25">
      <c r="A30" s="7" t="s">
        <v>357</v>
      </c>
      <c r="B30" s="10"/>
      <c r="C30" s="10"/>
      <c r="D30" s="10"/>
      <c r="E30" s="10"/>
      <c r="F30" s="17">
        <f>Consolidated_PL!B17</f>
        <v>298</v>
      </c>
      <c r="G30" s="10"/>
      <c r="H30" s="10"/>
      <c r="I30" s="10"/>
      <c r="J30" s="10"/>
      <c r="K30" s="17">
        <f>Consolidated_PL!C17</f>
        <v>-11517</v>
      </c>
      <c r="L30" s="10"/>
      <c r="M30" s="10"/>
      <c r="N30" s="10"/>
      <c r="O30" s="10"/>
      <c r="P30" s="17">
        <f>Consolidated_PL!D17</f>
        <v>-2833</v>
      </c>
      <c r="R30" s="10"/>
      <c r="S30" s="10"/>
      <c r="T30" s="10"/>
      <c r="U30" s="10"/>
      <c r="V30" s="17">
        <f>Consolidated_PL!F17</f>
        <v>2604.3100000000004</v>
      </c>
      <c r="W30" s="10"/>
      <c r="X30" s="10"/>
      <c r="Y30" s="10"/>
      <c r="Z30" s="10"/>
      <c r="AA30" s="17">
        <f>Consolidated_PL!G17</f>
        <v>6851.3502500000013</v>
      </c>
      <c r="AB30" s="10"/>
      <c r="AC30" s="10"/>
      <c r="AD30" s="10"/>
      <c r="AE30" s="10"/>
      <c r="AF30" s="17">
        <f>Consolidated_PL!H17</f>
        <v>10636.382000000001</v>
      </c>
      <c r="AI30" s="20" t="s">
        <v>358</v>
      </c>
    </row>
    <row r="31" spans="1:35" x14ac:dyDescent="0.25">
      <c r="A31" s="7" t="s">
        <v>359</v>
      </c>
      <c r="B31" s="10"/>
      <c r="C31" s="10"/>
      <c r="D31" s="10"/>
      <c r="E31" s="10"/>
      <c r="F31" s="42">
        <f>F29-F30</f>
        <v>0</v>
      </c>
      <c r="G31" s="10"/>
      <c r="H31" s="10"/>
      <c r="I31" s="10"/>
      <c r="J31" s="10"/>
      <c r="K31" s="42">
        <f>K29-K30</f>
        <v>0</v>
      </c>
      <c r="L31" s="10"/>
      <c r="M31" s="10"/>
      <c r="N31" s="10"/>
      <c r="O31" s="10"/>
      <c r="P31" s="42">
        <f>P29-P30</f>
        <v>0</v>
      </c>
      <c r="R31" s="10"/>
      <c r="S31" s="10"/>
      <c r="T31" s="10"/>
      <c r="U31" s="10"/>
      <c r="V31" s="42">
        <f>V29-V30</f>
        <v>0</v>
      </c>
      <c r="W31" s="10"/>
      <c r="X31" s="10"/>
      <c r="Y31" s="10"/>
      <c r="Z31" s="10"/>
      <c r="AA31" s="42">
        <f>AA29-AA30</f>
        <v>0</v>
      </c>
      <c r="AB31" s="10"/>
      <c r="AC31" s="10"/>
      <c r="AD31" s="10"/>
      <c r="AE31" s="10"/>
      <c r="AF31" s="42">
        <f>AF29-AF30</f>
        <v>0</v>
      </c>
      <c r="AI31" s="20" t="s">
        <v>360</v>
      </c>
    </row>
    <row r="32" spans="1:35" ht="24" x14ac:dyDescent="0.35">
      <c r="A32" s="9" t="s">
        <v>361</v>
      </c>
      <c r="B32" s="10"/>
      <c r="C32" s="10"/>
      <c r="D32" s="10"/>
      <c r="E32" s="10"/>
      <c r="F32" s="42">
        <f>F5+F10+F15+F20</f>
        <v>72252</v>
      </c>
      <c r="G32" s="10"/>
      <c r="H32" s="10"/>
      <c r="I32" s="10"/>
      <c r="J32" s="10"/>
      <c r="K32" s="42">
        <f>K5+K10+K15+K20</f>
        <v>70389</v>
      </c>
      <c r="L32" s="10"/>
      <c r="M32" s="10"/>
      <c r="N32" s="10"/>
      <c r="O32" s="10"/>
      <c r="P32" s="42">
        <f>P5+P10+P15+P20</f>
        <v>70536</v>
      </c>
      <c r="Q32" s="10"/>
      <c r="R32" s="10"/>
      <c r="S32" s="10"/>
      <c r="T32" s="10"/>
      <c r="U32" s="10"/>
      <c r="V32" s="42">
        <f>V5+V10+V15+V20</f>
        <v>72550.5</v>
      </c>
      <c r="W32" s="10"/>
      <c r="X32" s="10"/>
      <c r="Y32" s="10"/>
      <c r="Z32" s="10"/>
      <c r="AA32" s="42">
        <f>AA5+AA10+AA15+AA20</f>
        <v>80611.05</v>
      </c>
      <c r="AB32" s="10"/>
      <c r="AC32" s="10"/>
      <c r="AD32" s="10"/>
      <c r="AE32" s="10"/>
      <c r="AF32" s="42">
        <f>AF5+AF10+AF15+AF20</f>
        <v>87599.15</v>
      </c>
      <c r="AG32" s="10"/>
      <c r="AH32" s="10"/>
      <c r="AI32" s="20" t="s">
        <v>362</v>
      </c>
    </row>
    <row r="34" spans="1:35" ht="24" x14ac:dyDescent="0.25">
      <c r="A34" s="7" t="s">
        <v>363</v>
      </c>
      <c r="B34" s="10"/>
      <c r="C34" s="10"/>
      <c r="D34" s="10"/>
      <c r="E34" s="10"/>
      <c r="F34" s="41">
        <v>50</v>
      </c>
      <c r="G34" s="10"/>
      <c r="H34" s="10"/>
      <c r="I34" s="10"/>
      <c r="J34" s="10"/>
      <c r="K34" s="41">
        <v>60</v>
      </c>
      <c r="L34" s="10"/>
      <c r="M34" s="10"/>
      <c r="N34" s="10"/>
      <c r="O34" s="10"/>
      <c r="P34" s="41">
        <v>150</v>
      </c>
      <c r="Q34" s="10"/>
      <c r="R34" s="10"/>
      <c r="S34" s="10"/>
      <c r="T34" s="10"/>
      <c r="U34" s="10"/>
      <c r="V34" s="17">
        <f>Assumptions!V61</f>
        <v>700</v>
      </c>
      <c r="W34" s="10"/>
      <c r="X34" s="10"/>
      <c r="Y34" s="10"/>
      <c r="Z34" s="10"/>
      <c r="AA34" s="17">
        <f>Assumptions!AA61</f>
        <v>1500</v>
      </c>
      <c r="AB34" s="10"/>
      <c r="AC34" s="10"/>
      <c r="AD34" s="10"/>
      <c r="AE34" s="10"/>
      <c r="AF34" s="17">
        <f>Assumptions!AF61</f>
        <v>2500</v>
      </c>
      <c r="AH34" s="10"/>
      <c r="AI34" s="20" t="s">
        <v>364</v>
      </c>
    </row>
    <row r="35" spans="1:35" x14ac:dyDescent="0.25">
      <c r="A35" s="7" t="s">
        <v>365</v>
      </c>
      <c r="B35" s="10"/>
      <c r="C35" s="10"/>
      <c r="D35" s="10"/>
      <c r="E35" s="10"/>
      <c r="F35" s="41">
        <v>-205</v>
      </c>
      <c r="G35" s="10"/>
      <c r="H35" s="10"/>
      <c r="I35" s="10"/>
      <c r="J35" s="10"/>
      <c r="K35" s="41">
        <v>-161</v>
      </c>
      <c r="L35" s="10"/>
      <c r="M35" s="10"/>
      <c r="N35" s="10"/>
      <c r="O35" s="10"/>
      <c r="P35" s="41">
        <v>619</v>
      </c>
      <c r="Q35" s="10"/>
      <c r="R35" s="10"/>
      <c r="S35" s="10"/>
      <c r="T35" s="10"/>
      <c r="U35" s="10"/>
      <c r="V35" s="17">
        <f>Assumptions!V245</f>
        <v>-200</v>
      </c>
      <c r="W35" s="10"/>
      <c r="X35" s="10"/>
      <c r="Y35" s="10"/>
      <c r="Z35" s="10"/>
      <c r="AA35" s="17">
        <f>Assumptions!AA245</f>
        <v>-200</v>
      </c>
      <c r="AB35" s="10"/>
      <c r="AC35" s="10"/>
      <c r="AD35" s="10"/>
      <c r="AE35" s="10"/>
      <c r="AF35" s="17">
        <f>Assumptions!AF245</f>
        <v>-200</v>
      </c>
      <c r="AH35" s="10"/>
      <c r="AI35" s="20" t="s">
        <v>366</v>
      </c>
    </row>
    <row r="36" spans="1:35" ht="24" x14ac:dyDescent="0.35">
      <c r="A36" s="9" t="s">
        <v>367</v>
      </c>
      <c r="B36" s="10"/>
      <c r="C36" s="10"/>
      <c r="D36" s="10"/>
      <c r="E36" s="10"/>
      <c r="F36" s="41">
        <v>54228</v>
      </c>
      <c r="G36" s="10"/>
      <c r="H36" s="10"/>
      <c r="I36" s="10"/>
      <c r="J36" s="10"/>
      <c r="K36" s="41">
        <v>53101</v>
      </c>
      <c r="L36" s="10"/>
      <c r="M36" s="10"/>
      <c r="N36" s="10"/>
      <c r="O36" s="10"/>
      <c r="P36" s="41">
        <v>52853</v>
      </c>
      <c r="Q36" s="10"/>
      <c r="R36" s="10"/>
      <c r="S36" s="10"/>
      <c r="T36" s="10"/>
      <c r="U36" s="10"/>
      <c r="V36" s="13">
        <f>V5+V10+V20+V34+V35</f>
        <v>54652</v>
      </c>
      <c r="W36" s="10"/>
      <c r="X36" s="10"/>
      <c r="Y36" s="10"/>
      <c r="Z36" s="10"/>
      <c r="AA36" s="13">
        <f>AA5+AA10+AA20+AA34+AA35</f>
        <v>61801.75</v>
      </c>
      <c r="AB36" s="10"/>
      <c r="AC36" s="10"/>
      <c r="AD36" s="10"/>
      <c r="AE36" s="10"/>
      <c r="AF36" s="13">
        <f>AF5+AF10+AF20+AF34+AF35</f>
        <v>67643.899999999994</v>
      </c>
      <c r="AG36" s="10"/>
      <c r="AH36" s="10"/>
      <c r="AI36" s="20" t="s">
        <v>368</v>
      </c>
    </row>
    <row r="38" spans="1:35" x14ac:dyDescent="0.25">
      <c r="A38" s="7" t="s">
        <v>369</v>
      </c>
      <c r="B38" s="10"/>
      <c r="C38" s="10"/>
      <c r="D38" s="10"/>
      <c r="E38" s="10"/>
      <c r="F38" s="14">
        <f>F5/F36</f>
        <v>0.59572545548425171</v>
      </c>
      <c r="G38" s="10"/>
      <c r="H38" s="10"/>
      <c r="I38" s="10"/>
      <c r="J38" s="10"/>
      <c r="K38" s="14">
        <f>K5/K36</f>
        <v>0.6279731078510763</v>
      </c>
      <c r="L38" s="10"/>
      <c r="M38" s="10"/>
      <c r="N38" s="10"/>
      <c r="O38" s="10"/>
      <c r="P38" s="14">
        <f>P5/P36</f>
        <v>0.60976671144495109</v>
      </c>
      <c r="Q38" s="10"/>
      <c r="R38" s="10"/>
      <c r="S38" s="10"/>
      <c r="T38" s="10"/>
      <c r="U38" s="10"/>
      <c r="V38" s="14">
        <f>V5/V36</f>
        <v>0.59942911512844899</v>
      </c>
      <c r="W38" s="10"/>
      <c r="X38" s="10"/>
      <c r="Y38" s="10"/>
      <c r="Z38" s="10"/>
      <c r="AA38" s="14">
        <f>AA5/AA36</f>
        <v>0.56578899464820975</v>
      </c>
      <c r="AB38" s="10"/>
      <c r="AC38" s="10"/>
      <c r="AD38" s="10"/>
      <c r="AE38" s="10"/>
      <c r="AF38" s="14">
        <f>AF5/AF36</f>
        <v>0.53613703526851653</v>
      </c>
      <c r="AG38" s="10"/>
      <c r="AH38" s="10"/>
    </row>
    <row r="39" spans="1:35" x14ac:dyDescent="0.25">
      <c r="A39" s="7" t="s">
        <v>370</v>
      </c>
      <c r="B39" s="10"/>
      <c r="C39" s="10"/>
      <c r="D39" s="10"/>
      <c r="E39" s="10"/>
      <c r="F39" s="14">
        <f>F10/F36</f>
        <v>0.29468171424356421</v>
      </c>
      <c r="G39" s="10"/>
      <c r="H39" s="10"/>
      <c r="I39" s="10"/>
      <c r="J39" s="10"/>
      <c r="K39" s="14">
        <f>K10/K36</f>
        <v>0.30366659761586412</v>
      </c>
      <c r="L39" s="10"/>
      <c r="M39" s="10"/>
      <c r="N39" s="10"/>
      <c r="O39" s="10"/>
      <c r="P39" s="14">
        <f>P10/P36</f>
        <v>0.3201142792272908</v>
      </c>
      <c r="Q39" s="10"/>
      <c r="R39" s="10"/>
      <c r="S39" s="10"/>
      <c r="T39" s="10"/>
      <c r="U39" s="10"/>
      <c r="V39" s="14">
        <f>V10/V36</f>
        <v>0.32789284930103196</v>
      </c>
      <c r="W39" s="10"/>
      <c r="X39" s="10"/>
      <c r="Y39" s="10"/>
      <c r="Z39" s="10"/>
      <c r="AA39" s="14">
        <f>AA10/AA36</f>
        <v>0.35201268572491873</v>
      </c>
      <c r="AB39" s="10"/>
      <c r="AC39" s="10"/>
      <c r="AD39" s="10"/>
      <c r="AE39" s="10"/>
      <c r="AF39" s="14">
        <f>AF10/AF36</f>
        <v>0.36939768404837692</v>
      </c>
      <c r="AH39" s="10"/>
    </row>
    <row r="40" spans="1:35" x14ac:dyDescent="0.25">
      <c r="A40" s="7" t="s">
        <v>371</v>
      </c>
      <c r="B40" s="10"/>
      <c r="C40" s="10"/>
      <c r="D40" s="10"/>
      <c r="E40" s="10"/>
      <c r="F40" s="14">
        <f>F20/F36</f>
        <v>0.10074131445009958</v>
      </c>
      <c r="G40" s="10"/>
      <c r="H40" s="10"/>
      <c r="I40" s="10"/>
      <c r="J40" s="10"/>
      <c r="K40" s="14">
        <f>K20/K36</f>
        <v>6.781416545827762E-2</v>
      </c>
      <c r="L40" s="10"/>
      <c r="M40" s="10"/>
      <c r="N40" s="10"/>
      <c r="O40" s="10"/>
      <c r="P40" s="14">
        <f>P20/P36</f>
        <v>6.7413391860443123E-2</v>
      </c>
      <c r="Q40" s="10"/>
      <c r="R40" s="10"/>
      <c r="S40" s="10"/>
      <c r="T40" s="10"/>
      <c r="U40" s="10"/>
      <c r="V40" s="14">
        <f>V20/V36</f>
        <v>6.3529239552074943E-2</v>
      </c>
      <c r="W40" s="10"/>
      <c r="X40" s="10"/>
      <c r="Y40" s="10"/>
      <c r="Z40" s="10"/>
      <c r="AA40" s="14">
        <f>AA20/AA36</f>
        <v>6.1163316572750773E-2</v>
      </c>
      <c r="AB40" s="10"/>
      <c r="AC40" s="10"/>
      <c r="AD40" s="10"/>
      <c r="AE40" s="10"/>
      <c r="AF40" s="14">
        <f>AF20/AF36</f>
        <v>6.046369295679286E-2</v>
      </c>
      <c r="AH40" s="10"/>
    </row>
    <row r="41" spans="1:35" x14ac:dyDescent="0.25">
      <c r="A41" s="7" t="s">
        <v>372</v>
      </c>
      <c r="B41" s="10"/>
      <c r="C41" s="10"/>
      <c r="D41" s="10"/>
      <c r="E41" s="10"/>
      <c r="F41" s="14">
        <f>F34/F36</f>
        <v>9.2203289813380543E-4</v>
      </c>
      <c r="G41" s="10"/>
      <c r="H41" s="10"/>
      <c r="I41" s="10"/>
      <c r="J41" s="10"/>
      <c r="K41" s="14">
        <f>K34/K36</f>
        <v>1.1299222236869362E-3</v>
      </c>
      <c r="L41" s="10"/>
      <c r="M41" s="10"/>
      <c r="N41" s="10"/>
      <c r="O41" s="10"/>
      <c r="P41" s="14">
        <f>P34/P36</f>
        <v>2.8380602804003556E-3</v>
      </c>
      <c r="Q41" s="10"/>
      <c r="R41" s="10"/>
      <c r="S41" s="10"/>
      <c r="T41" s="10"/>
      <c r="U41" s="10"/>
      <c r="V41" s="14">
        <f>V34/V36</f>
        <v>1.2808314425821562E-2</v>
      </c>
      <c r="W41" s="10"/>
      <c r="X41" s="10"/>
      <c r="Y41" s="10"/>
      <c r="Z41" s="10"/>
      <c r="AA41" s="14">
        <f>AA34/AA36</f>
        <v>2.4271157370139195E-2</v>
      </c>
      <c r="AB41" s="10"/>
      <c r="AC41" s="10"/>
      <c r="AD41" s="10"/>
      <c r="AE41" s="10"/>
      <c r="AF41" s="14">
        <f>AF34/AF36</f>
        <v>3.6958247528601988E-2</v>
      </c>
      <c r="AH41" s="10"/>
      <c r="AI41" s="20" t="s">
        <v>373</v>
      </c>
    </row>
    <row r="42" spans="1:35" x14ac:dyDescent="0.25">
      <c r="A42" s="7" t="s">
        <v>374</v>
      </c>
      <c r="B42" s="10"/>
      <c r="C42" s="10"/>
      <c r="D42" s="10"/>
      <c r="E42" s="10"/>
      <c r="F42" s="14">
        <f>F15/F32</f>
        <v>0.25610363726955654</v>
      </c>
      <c r="G42" s="10"/>
      <c r="H42" s="10"/>
      <c r="I42" s="10"/>
      <c r="J42" s="10"/>
      <c r="K42" s="14">
        <f>K15/K32</f>
        <v>0.24601855403543169</v>
      </c>
      <c r="L42" s="10"/>
      <c r="M42" s="10"/>
      <c r="N42" s="10"/>
      <c r="O42" s="10"/>
      <c r="P42" s="14">
        <f>P15/P32</f>
        <v>0.252722014290575</v>
      </c>
      <c r="Q42" s="10"/>
      <c r="R42" s="10"/>
      <c r="S42" s="10"/>
      <c r="T42" s="10"/>
      <c r="U42" s="10"/>
      <c r="V42" s="14">
        <f>V15/V32</f>
        <v>0.25359577122142501</v>
      </c>
      <c r="W42" s="10"/>
      <c r="X42" s="10"/>
      <c r="Y42" s="10"/>
      <c r="Z42" s="10"/>
      <c r="AA42" s="14">
        <f>AA15/AA32</f>
        <v>0.24946083694481089</v>
      </c>
      <c r="AB42" s="10"/>
      <c r="AC42" s="10"/>
      <c r="AD42" s="10"/>
      <c r="AE42" s="10"/>
      <c r="AF42" s="14">
        <f>AF15/AF32</f>
        <v>0.25405783046981623</v>
      </c>
      <c r="AH42" s="10"/>
      <c r="AI42" s="20" t="s">
        <v>375</v>
      </c>
    </row>
    <row r="44" spans="1:35" x14ac:dyDescent="0.25">
      <c r="A44" s="7" t="s">
        <v>101</v>
      </c>
    </row>
    <row r="45" spans="1:35" ht="14.5" x14ac:dyDescent="0.3">
      <c r="A45" s="76" t="s">
        <v>102</v>
      </c>
      <c r="B45" s="69"/>
      <c r="C45" s="69"/>
      <c r="D45" s="69"/>
      <c r="E45" s="69"/>
      <c r="F45" s="69"/>
    </row>
    <row r="46" spans="1:35" ht="14.5" x14ac:dyDescent="0.3">
      <c r="A46" s="80" t="s">
        <v>103</v>
      </c>
      <c r="B46" s="69"/>
      <c r="C46" s="69"/>
      <c r="D46" s="69"/>
      <c r="E46" s="69"/>
      <c r="F46" s="69"/>
    </row>
    <row r="47" spans="1:35" ht="14.5" x14ac:dyDescent="0.3">
      <c r="A47" s="79" t="s">
        <v>104</v>
      </c>
      <c r="B47" s="69"/>
      <c r="C47" s="69"/>
      <c r="D47" s="69"/>
      <c r="E47" s="69"/>
      <c r="F47" s="69"/>
    </row>
    <row r="48" spans="1:35" ht="14.5" x14ac:dyDescent="0.3">
      <c r="A48" s="77" t="s">
        <v>105</v>
      </c>
      <c r="B48" s="69"/>
      <c r="C48" s="69"/>
      <c r="D48" s="69"/>
      <c r="E48" s="69"/>
      <c r="F48" s="69"/>
    </row>
    <row r="49" spans="1:6" ht="14.5" x14ac:dyDescent="0.3">
      <c r="A49" s="77" t="s">
        <v>106</v>
      </c>
      <c r="B49" s="69"/>
      <c r="C49" s="69"/>
      <c r="D49" s="69"/>
      <c r="E49" s="69"/>
      <c r="F49" s="69"/>
    </row>
    <row r="50" spans="1:6" x14ac:dyDescent="0.25">
      <c r="A50" s="69" t="s">
        <v>107</v>
      </c>
      <c r="B50" s="69"/>
      <c r="C50" s="69"/>
      <c r="D50" s="69"/>
      <c r="E50" s="69"/>
      <c r="F50" s="69"/>
    </row>
    <row r="52" spans="1:6" x14ac:dyDescent="0.25">
      <c r="A52" s="7" t="s">
        <v>108</v>
      </c>
    </row>
    <row r="53" spans="1:6" ht="14.5" x14ac:dyDescent="0.3">
      <c r="A53" s="74" t="s">
        <v>109</v>
      </c>
      <c r="B53" s="69"/>
      <c r="C53" s="69"/>
      <c r="D53" s="69"/>
      <c r="E53" s="69"/>
      <c r="F53" s="69"/>
    </row>
    <row r="54" spans="1:6" ht="14.5" x14ac:dyDescent="0.3">
      <c r="A54" s="74" t="s">
        <v>110</v>
      </c>
      <c r="B54" s="69"/>
      <c r="C54" s="69"/>
      <c r="D54" s="69"/>
      <c r="E54" s="69"/>
      <c r="F54" s="69"/>
    </row>
    <row r="55" spans="1:6" ht="14.5" x14ac:dyDescent="0.3">
      <c r="A55" s="74" t="s">
        <v>111</v>
      </c>
      <c r="B55" s="69"/>
      <c r="C55" s="69"/>
      <c r="D55" s="69"/>
      <c r="E55" s="69"/>
      <c r="F55" s="69"/>
    </row>
    <row r="56" spans="1:6" ht="14.5" x14ac:dyDescent="0.3">
      <c r="A56" s="74" t="s">
        <v>112</v>
      </c>
      <c r="B56" s="69"/>
      <c r="C56" s="69"/>
      <c r="D56" s="69"/>
      <c r="E56" s="69"/>
      <c r="F56" s="69"/>
    </row>
    <row r="57" spans="1:6" ht="14.5" x14ac:dyDescent="0.3">
      <c r="A57" s="74" t="s">
        <v>113</v>
      </c>
      <c r="B57" s="69"/>
      <c r="C57" s="69"/>
      <c r="D57" s="69"/>
      <c r="E57" s="69"/>
      <c r="F57" s="69"/>
    </row>
  </sheetData>
  <mergeCells count="13">
    <mergeCell ref="A57:F57"/>
    <mergeCell ref="A1:AH1"/>
    <mergeCell ref="A50:F50"/>
    <mergeCell ref="A56:F56"/>
    <mergeCell ref="A48:F48"/>
    <mergeCell ref="A53:F53"/>
    <mergeCell ref="A55:F55"/>
    <mergeCell ref="A54:F54"/>
    <mergeCell ref="A49:F49"/>
    <mergeCell ref="A47:F47"/>
    <mergeCell ref="A46:F46"/>
    <mergeCell ref="A2:AH2"/>
    <mergeCell ref="A45:F45"/>
  </mergeCells>
  <phoneticPr fontId="26" type="noConversion"/>
  <pageMargins left="0.75" right="0.75" top="1" bottom="1" header="0.5" footer="0.5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K51"/>
  <sheetViews>
    <sheetView workbookViewId="0">
      <selection sqref="A1:J1"/>
    </sheetView>
  </sheetViews>
  <sheetFormatPr defaultRowHeight="14" x14ac:dyDescent="0.25"/>
  <cols>
    <col min="1" max="1" width="44" customWidth="1"/>
    <col min="2" max="4" width="14" customWidth="1"/>
    <col min="5" max="5" width="2" customWidth="1"/>
    <col min="6" max="9" width="14" customWidth="1"/>
    <col min="10" max="10" width="2" customWidth="1"/>
    <col min="11" max="11" width="55" customWidth="1"/>
  </cols>
  <sheetData>
    <row r="1" spans="1:11" ht="18.5" x14ac:dyDescent="0.45">
      <c r="A1" s="78" t="s">
        <v>376</v>
      </c>
      <c r="B1" s="69"/>
      <c r="C1" s="69"/>
      <c r="D1" s="69"/>
      <c r="E1" s="69"/>
      <c r="F1" s="69"/>
      <c r="G1" s="69"/>
      <c r="H1" s="69"/>
      <c r="I1" s="69"/>
      <c r="J1" s="69"/>
    </row>
    <row r="2" spans="1:11" ht="14.5" x14ac:dyDescent="0.3">
      <c r="A2" s="75" t="s">
        <v>43</v>
      </c>
      <c r="B2" s="69"/>
      <c r="C2" s="69"/>
      <c r="D2" s="69"/>
      <c r="E2" s="69"/>
      <c r="F2" s="69"/>
      <c r="G2" s="69"/>
      <c r="H2" s="69"/>
      <c r="I2" s="69"/>
      <c r="J2" s="69"/>
    </row>
    <row r="3" spans="1:11" x14ac:dyDescent="0.25">
      <c r="A3" s="11"/>
      <c r="B3" s="12" t="s">
        <v>46</v>
      </c>
      <c r="C3" s="12" t="s">
        <v>47</v>
      </c>
      <c r="D3" s="12" t="s">
        <v>48</v>
      </c>
      <c r="E3" s="11"/>
      <c r="F3" s="12" t="s">
        <v>49</v>
      </c>
      <c r="G3" s="12" t="s">
        <v>50</v>
      </c>
      <c r="H3" s="12" t="s">
        <v>51</v>
      </c>
      <c r="I3" s="11"/>
      <c r="J3" s="11"/>
      <c r="K3" s="12" t="s">
        <v>52</v>
      </c>
    </row>
    <row r="4" spans="1:11" x14ac:dyDescent="0.25">
      <c r="A4" s="7" t="s">
        <v>43</v>
      </c>
      <c r="K4" s="20" t="s">
        <v>377</v>
      </c>
    </row>
    <row r="5" spans="1:11" x14ac:dyDescent="0.25">
      <c r="A5" s="18" t="s">
        <v>378</v>
      </c>
      <c r="B5" s="17">
        <f>Segment_PL!F36</f>
        <v>54228</v>
      </c>
      <c r="C5" s="17">
        <f>Segment_PL!K36</f>
        <v>53101</v>
      </c>
      <c r="D5" s="17">
        <f>Segment_PL!P36</f>
        <v>52853</v>
      </c>
      <c r="F5" s="17">
        <f>Segment_PL!V36</f>
        <v>54652</v>
      </c>
      <c r="G5" s="17">
        <f>Segment_PL!AA36</f>
        <v>61801.75</v>
      </c>
      <c r="H5" s="17">
        <f>Segment_PL!AF36</f>
        <v>67643.899999999994</v>
      </c>
      <c r="K5" s="20" t="s">
        <v>379</v>
      </c>
    </row>
    <row r="6" spans="1:11" x14ac:dyDescent="0.25">
      <c r="A6" s="7" t="s">
        <v>380</v>
      </c>
      <c r="B6" s="41">
        <v>32517</v>
      </c>
      <c r="C6" s="41">
        <v>35756</v>
      </c>
      <c r="D6" s="41">
        <v>34478</v>
      </c>
      <c r="F6" s="42">
        <f>F5*Assumptions!V112</f>
        <v>33610.979999999996</v>
      </c>
      <c r="G6" s="42">
        <f>G5*Assumptions!AA112</f>
        <v>36463.032500000001</v>
      </c>
      <c r="H6" s="42">
        <f>H5*Assumptions!AF112</f>
        <v>38218.803499999995</v>
      </c>
      <c r="K6" s="20" t="s">
        <v>381</v>
      </c>
    </row>
    <row r="7" spans="1:11" x14ac:dyDescent="0.25">
      <c r="A7" s="18" t="s">
        <v>382</v>
      </c>
      <c r="B7" s="41">
        <v>21711</v>
      </c>
      <c r="C7" s="41">
        <v>17345</v>
      </c>
      <c r="D7" s="41">
        <v>18375</v>
      </c>
      <c r="F7" s="42">
        <f>F5-F6</f>
        <v>21041.020000000004</v>
      </c>
      <c r="G7" s="42">
        <f>G5-G6</f>
        <v>25338.717499999999</v>
      </c>
      <c r="H7" s="42">
        <f>H5-H6</f>
        <v>29425.0965</v>
      </c>
      <c r="K7" s="20" t="s">
        <v>383</v>
      </c>
    </row>
    <row r="8" spans="1:11" x14ac:dyDescent="0.25">
      <c r="A8" s="7" t="s">
        <v>384</v>
      </c>
      <c r="B8" s="14">
        <f>B7/B5</f>
        <v>0.40036512502766097</v>
      </c>
      <c r="C8" s="14">
        <f>C7/C5</f>
        <v>0.32664168283083184</v>
      </c>
      <c r="D8" s="14">
        <f>D7/D5</f>
        <v>0.34766238434904356</v>
      </c>
      <c r="F8" s="14">
        <f>F7/F5</f>
        <v>0.38500000000000006</v>
      </c>
      <c r="G8" s="14">
        <f>G7/G5</f>
        <v>0.41</v>
      </c>
      <c r="H8" s="14">
        <f>H7/H5</f>
        <v>0.43500000000000005</v>
      </c>
    </row>
    <row r="10" spans="1:11" ht="15" x14ac:dyDescent="0.35">
      <c r="A10" s="9" t="s">
        <v>385</v>
      </c>
      <c r="B10" s="10"/>
      <c r="C10" s="10"/>
      <c r="D10" s="10"/>
      <c r="E10" s="10"/>
      <c r="F10" s="10"/>
      <c r="G10" s="10"/>
      <c r="H10" s="10"/>
      <c r="I10" s="10"/>
      <c r="J10" s="10"/>
    </row>
    <row r="11" spans="1:11" x14ac:dyDescent="0.25">
      <c r="A11" s="7" t="s">
        <v>386</v>
      </c>
      <c r="B11" s="41">
        <v>16046</v>
      </c>
      <c r="C11" s="41">
        <v>16546</v>
      </c>
      <c r="D11" s="41">
        <v>13774</v>
      </c>
      <c r="F11" s="42">
        <f>F5*Assumptions!V118</f>
        <v>14209.52</v>
      </c>
      <c r="G11" s="42">
        <f>G5*Assumptions!AA118</f>
        <v>15450.4375</v>
      </c>
      <c r="H11" s="42">
        <f>H5*Assumptions!AF118</f>
        <v>16234.535999999998</v>
      </c>
      <c r="K11" s="20" t="s">
        <v>387</v>
      </c>
    </row>
    <row r="12" spans="1:11" x14ac:dyDescent="0.25">
      <c r="A12" s="7" t="s">
        <v>388</v>
      </c>
      <c r="B12" s="41">
        <v>5634</v>
      </c>
      <c r="C12" s="41">
        <v>5507</v>
      </c>
      <c r="D12" s="41">
        <v>4624</v>
      </c>
      <c r="F12" s="42">
        <f>F5*Assumptions!V124</f>
        <v>4372.16</v>
      </c>
      <c r="G12" s="42">
        <f>G5*Assumptions!AA124</f>
        <v>4635.1312499999995</v>
      </c>
      <c r="H12" s="42">
        <f>H5*Assumptions!AF124</f>
        <v>4735.0730000000003</v>
      </c>
      <c r="K12" s="20" t="s">
        <v>389</v>
      </c>
    </row>
    <row r="13" spans="1:11" x14ac:dyDescent="0.25">
      <c r="A13" s="7" t="s">
        <v>390</v>
      </c>
      <c r="B13" s="41">
        <v>-62</v>
      </c>
      <c r="C13" s="41">
        <v>6970</v>
      </c>
      <c r="D13" s="41">
        <v>2191</v>
      </c>
      <c r="F13" s="17">
        <f>Assumptions!V143</f>
        <v>500</v>
      </c>
      <c r="G13" s="17">
        <f>Assumptions!AA143</f>
        <v>500</v>
      </c>
      <c r="H13" s="17">
        <f>Assumptions!AF143</f>
        <v>500</v>
      </c>
      <c r="K13" s="20" t="s">
        <v>391</v>
      </c>
    </row>
    <row r="14" spans="1:11" x14ac:dyDescent="0.25">
      <c r="A14" s="18" t="s">
        <v>392</v>
      </c>
      <c r="B14" s="42">
        <f>B11+B12+B13</f>
        <v>21618</v>
      </c>
      <c r="C14" s="42">
        <f>C11+C12+C13</f>
        <v>29023</v>
      </c>
      <c r="D14" s="42">
        <f>D11+D12+D13</f>
        <v>20589</v>
      </c>
      <c r="F14" s="42">
        <f>F11+F12+F13</f>
        <v>19081.68</v>
      </c>
      <c r="G14" s="42">
        <f>G11+G12+G13</f>
        <v>20585.568749999999</v>
      </c>
      <c r="H14" s="42">
        <f>H11+H12+H13</f>
        <v>21469.608999999997</v>
      </c>
      <c r="K14" s="20" t="s">
        <v>393</v>
      </c>
    </row>
    <row r="16" spans="1:11" ht="15" x14ac:dyDescent="0.35">
      <c r="A16" s="9" t="s">
        <v>394</v>
      </c>
      <c r="B16" s="10"/>
      <c r="C16" s="10"/>
      <c r="D16" s="10"/>
      <c r="E16" s="10"/>
      <c r="F16" s="10"/>
      <c r="G16" s="10"/>
      <c r="H16" s="10"/>
      <c r="I16" s="10"/>
      <c r="J16" s="10"/>
    </row>
    <row r="17" spans="1:11" x14ac:dyDescent="0.25">
      <c r="A17" s="18" t="s">
        <v>395</v>
      </c>
      <c r="B17" s="17">
        <f>Segment_PL!F26</f>
        <v>298</v>
      </c>
      <c r="C17" s="17">
        <f>Segment_PL!K26</f>
        <v>-11517</v>
      </c>
      <c r="D17" s="17">
        <f>Segment_PL!P26</f>
        <v>-2833</v>
      </c>
      <c r="F17" s="17">
        <f>Segment_PL!V26</f>
        <v>2604.3100000000004</v>
      </c>
      <c r="G17" s="17">
        <f>Segment_PL!AA26</f>
        <v>6851.3502500000013</v>
      </c>
      <c r="H17" s="17">
        <f>Segment_PL!AF26</f>
        <v>10636.382000000001</v>
      </c>
      <c r="K17" s="20" t="s">
        <v>396</v>
      </c>
    </row>
    <row r="18" spans="1:11" x14ac:dyDescent="0.25">
      <c r="A18" s="7" t="s">
        <v>397</v>
      </c>
      <c r="B18" s="14">
        <f>B17/B5</f>
        <v>5.4953160728774802E-3</v>
      </c>
      <c r="C18" s="14">
        <f>C17/C5</f>
        <v>-0.2168885708367074</v>
      </c>
      <c r="D18" s="14">
        <f>D17/D5</f>
        <v>-5.360149849582805E-2</v>
      </c>
      <c r="F18" s="14">
        <f>F17/F5</f>
        <v>4.7652601917587654E-2</v>
      </c>
      <c r="G18" s="14">
        <f>G17/G5</f>
        <v>0.11086013341046171</v>
      </c>
      <c r="H18" s="14">
        <f>H17/H5</f>
        <v>0.15724081550590671</v>
      </c>
    </row>
    <row r="19" spans="1:11" x14ac:dyDescent="0.25">
      <c r="A19" s="7" t="s">
        <v>398</v>
      </c>
      <c r="B19" s="42">
        <f>B7-B17</f>
        <v>21413</v>
      </c>
      <c r="C19" s="42">
        <f>C7-C17</f>
        <v>28862</v>
      </c>
      <c r="D19" s="42">
        <f>D7-D17</f>
        <v>21208</v>
      </c>
      <c r="F19" s="42">
        <f>F7-F17</f>
        <v>18436.710000000003</v>
      </c>
      <c r="G19" s="42">
        <f>G7-G17</f>
        <v>18487.367249999996</v>
      </c>
      <c r="H19" s="42">
        <f>H7-H17</f>
        <v>18788.714499999998</v>
      </c>
      <c r="K19" s="20" t="s">
        <v>399</v>
      </c>
    </row>
    <row r="21" spans="1:11" ht="15" x14ac:dyDescent="0.35">
      <c r="A21" s="9" t="s">
        <v>400</v>
      </c>
      <c r="B21" s="10"/>
      <c r="C21" s="10"/>
      <c r="D21" s="10"/>
      <c r="E21" s="10"/>
      <c r="F21" s="10"/>
      <c r="G21" s="10"/>
      <c r="H21" s="10"/>
      <c r="I21" s="10"/>
      <c r="J21" s="10"/>
    </row>
    <row r="22" spans="1:11" x14ac:dyDescent="0.25">
      <c r="A22" s="7" t="s">
        <v>401</v>
      </c>
      <c r="B22" s="41">
        <v>629</v>
      </c>
      <c r="C22" s="41">
        <v>226</v>
      </c>
      <c r="D22" s="41">
        <v>3257</v>
      </c>
      <c r="F22" s="17">
        <f>Assumptions!V227</f>
        <v>-800</v>
      </c>
      <c r="G22" s="17">
        <f>Assumptions!AA227</f>
        <v>-600</v>
      </c>
      <c r="H22" s="17">
        <f>Assumptions!AF227</f>
        <v>-400</v>
      </c>
      <c r="K22" s="20" t="s">
        <v>402</v>
      </c>
    </row>
    <row r="23" spans="1:11" x14ac:dyDescent="0.25">
      <c r="A23" s="7" t="s">
        <v>403</v>
      </c>
      <c r="B23" s="41">
        <v>40</v>
      </c>
      <c r="C23" s="41">
        <v>242</v>
      </c>
      <c r="D23" s="41">
        <v>514</v>
      </c>
      <c r="F23" s="41">
        <v>0</v>
      </c>
      <c r="G23" s="41">
        <v>0</v>
      </c>
      <c r="H23" s="41">
        <v>0</v>
      </c>
      <c r="K23" s="20" t="s">
        <v>404</v>
      </c>
    </row>
    <row r="24" spans="1:11" x14ac:dyDescent="0.25">
      <c r="A24" s="18" t="s">
        <v>405</v>
      </c>
      <c r="B24" s="42">
        <f>B17+B22+B23</f>
        <v>967</v>
      </c>
      <c r="C24" s="42">
        <f>C17+C22+C23</f>
        <v>-11049</v>
      </c>
      <c r="D24" s="42">
        <f>D17+D22+D23</f>
        <v>938</v>
      </c>
      <c r="F24" s="42">
        <f>F17+F22+F23</f>
        <v>1804.3100000000004</v>
      </c>
      <c r="G24" s="42">
        <f>G17+G22+G23</f>
        <v>6251.3502500000013</v>
      </c>
      <c r="H24" s="42">
        <f>H17+H22+H23</f>
        <v>10236.382000000001</v>
      </c>
      <c r="K24" s="20" t="s">
        <v>406</v>
      </c>
    </row>
    <row r="25" spans="1:11" x14ac:dyDescent="0.25">
      <c r="A25" s="7" t="s">
        <v>407</v>
      </c>
      <c r="B25" s="41">
        <v>-913</v>
      </c>
      <c r="C25" s="41">
        <v>8023</v>
      </c>
      <c r="D25" s="41">
        <v>1531</v>
      </c>
      <c r="F25" s="42">
        <f>IF(F24&gt;0,F24*Assumptions!V221,0)</f>
        <v>216.51720000000003</v>
      </c>
      <c r="G25" s="42">
        <f>IF(G24&gt;0,G24*Assumptions!AA221,0)</f>
        <v>812.67553250000014</v>
      </c>
      <c r="H25" s="42">
        <f>IF(H24&gt;0,H24*Assumptions!AF221,0)</f>
        <v>1330.7296600000002</v>
      </c>
      <c r="K25" s="20" t="s">
        <v>408</v>
      </c>
    </row>
    <row r="26" spans="1:11" x14ac:dyDescent="0.25">
      <c r="A26" s="18" t="s">
        <v>409</v>
      </c>
      <c r="B26" s="42">
        <f>B24-B25</f>
        <v>1880</v>
      </c>
      <c r="C26" s="42">
        <f>C24-C25</f>
        <v>-19072</v>
      </c>
      <c r="D26" s="42">
        <f>D24-D25</f>
        <v>-593</v>
      </c>
      <c r="F26" s="42">
        <f>F24-F25</f>
        <v>1587.7928000000004</v>
      </c>
      <c r="G26" s="42">
        <f>G24-G25</f>
        <v>5438.674717500001</v>
      </c>
      <c r="H26" s="42">
        <f>H24-H25</f>
        <v>8905.6523400000005</v>
      </c>
      <c r="K26" s="20" t="s">
        <v>410</v>
      </c>
    </row>
    <row r="27" spans="1:11" x14ac:dyDescent="0.25">
      <c r="A27" s="7" t="s">
        <v>411</v>
      </c>
      <c r="B27" s="14">
        <f>B26/B5</f>
        <v>3.466843696983108E-2</v>
      </c>
      <c r="C27" s="14">
        <f>C26/C5</f>
        <v>-0.35916461083595413</v>
      </c>
      <c r="D27" s="14">
        <f>D26/D5</f>
        <v>-1.1219798308516073E-2</v>
      </c>
      <c r="F27" s="14">
        <f>F26/F5</f>
        <v>2.9052784893508023E-2</v>
      </c>
      <c r="G27" s="14">
        <f>G26/G5</f>
        <v>8.800195330229324E-2</v>
      </c>
      <c r="H27" s="14">
        <f>H26/H5</f>
        <v>0.13165492143415741</v>
      </c>
    </row>
    <row r="28" spans="1:11" x14ac:dyDescent="0.25">
      <c r="A28" s="7" t="s">
        <v>412</v>
      </c>
      <c r="B28" s="41">
        <v>-14</v>
      </c>
      <c r="C28" s="41">
        <v>-477</v>
      </c>
      <c r="D28" s="41">
        <v>293</v>
      </c>
      <c r="F28" s="17">
        <f>Assumptions!V233</f>
        <v>750</v>
      </c>
      <c r="G28" s="17">
        <f>Assumptions!AA233</f>
        <v>1100</v>
      </c>
      <c r="H28" s="17">
        <f>Assumptions!AF233</f>
        <v>1100</v>
      </c>
      <c r="K28" s="20" t="s">
        <v>413</v>
      </c>
    </row>
    <row r="29" spans="1:11" x14ac:dyDescent="0.25">
      <c r="A29" s="18" t="s">
        <v>414</v>
      </c>
      <c r="B29" s="13">
        <f>B26-B28</f>
        <v>1894</v>
      </c>
      <c r="C29" s="13">
        <f>C26-C28</f>
        <v>-18595</v>
      </c>
      <c r="D29" s="13">
        <f>D26-D28</f>
        <v>-886</v>
      </c>
      <c r="F29" s="13">
        <f>F26-F28</f>
        <v>837.7928000000004</v>
      </c>
      <c r="G29" s="13">
        <f>G26-G28</f>
        <v>4338.674717500001</v>
      </c>
      <c r="H29" s="13">
        <f>H26-H28</f>
        <v>7805.6523400000005</v>
      </c>
      <c r="K29" s="20" t="s">
        <v>415</v>
      </c>
    </row>
    <row r="31" spans="1:11" ht="15" x14ac:dyDescent="0.35">
      <c r="A31" s="9" t="s">
        <v>416</v>
      </c>
      <c r="B31" s="10"/>
      <c r="C31" s="10"/>
      <c r="D31" s="10"/>
      <c r="E31" s="10"/>
      <c r="F31" s="10"/>
      <c r="G31" s="10"/>
      <c r="H31" s="10"/>
      <c r="I31" s="10"/>
      <c r="J31" s="10"/>
    </row>
    <row r="32" spans="1:11" x14ac:dyDescent="0.25">
      <c r="A32" s="7" t="s">
        <v>417</v>
      </c>
      <c r="B32" s="41">
        <v>7847</v>
      </c>
      <c r="C32" s="41">
        <v>9951</v>
      </c>
      <c r="D32" s="41">
        <v>10757</v>
      </c>
      <c r="F32" s="17">
        <f>Assumptions!V131</f>
        <v>12500</v>
      </c>
      <c r="G32" s="17">
        <f>Assumptions!AA131</f>
        <v>13200</v>
      </c>
      <c r="H32" s="17">
        <f>Assumptions!AF131</f>
        <v>13800</v>
      </c>
      <c r="K32" s="20" t="s">
        <v>418</v>
      </c>
    </row>
    <row r="33" spans="1:11" x14ac:dyDescent="0.25">
      <c r="A33" s="7" t="s">
        <v>419</v>
      </c>
      <c r="B33" s="41">
        <v>3229</v>
      </c>
      <c r="C33" s="41">
        <v>3410</v>
      </c>
      <c r="D33" s="41">
        <v>2434</v>
      </c>
      <c r="F33" s="17">
        <f>Assumptions!V137</f>
        <v>2500</v>
      </c>
      <c r="G33" s="17">
        <f>Assumptions!AA137</f>
        <v>2500</v>
      </c>
      <c r="H33" s="17">
        <f>Assumptions!AF137</f>
        <v>2500</v>
      </c>
      <c r="K33" s="20" t="s">
        <v>420</v>
      </c>
    </row>
    <row r="34" spans="1:11" x14ac:dyDescent="0.25">
      <c r="A34" s="7" t="s">
        <v>421</v>
      </c>
      <c r="B34" s="41">
        <v>4212</v>
      </c>
      <c r="C34" s="41">
        <v>4280</v>
      </c>
      <c r="D34" s="41">
        <v>4530</v>
      </c>
      <c r="F34" s="17">
        <f>Assumptions!V203</f>
        <v>5100</v>
      </c>
      <c r="G34" s="17">
        <f>Assumptions!AA203</f>
        <v>5180</v>
      </c>
      <c r="H34" s="17">
        <f>Assumptions!AF203</f>
        <v>5250</v>
      </c>
      <c r="K34" s="20" t="s">
        <v>422</v>
      </c>
    </row>
    <row r="35" spans="1:11" x14ac:dyDescent="0.25">
      <c r="A35" s="18" t="s">
        <v>423</v>
      </c>
      <c r="B35" s="16">
        <f>B29/B34</f>
        <v>0.44966761633428298</v>
      </c>
      <c r="C35" s="16">
        <f>C29/C34</f>
        <v>-4.3446261682242993</v>
      </c>
      <c r="D35" s="16">
        <f>D29/D34</f>
        <v>-0.19558498896247239</v>
      </c>
      <c r="F35" s="16">
        <f>F29/F34</f>
        <v>0.16427309803921578</v>
      </c>
      <c r="G35" s="16">
        <f>G29/G34</f>
        <v>0.83758199179536696</v>
      </c>
      <c r="H35" s="16">
        <f>H29/H34</f>
        <v>1.4867909219047619</v>
      </c>
      <c r="K35" s="20" t="s">
        <v>424</v>
      </c>
    </row>
    <row r="36" spans="1:11" x14ac:dyDescent="0.25">
      <c r="A36" s="7" t="s">
        <v>425</v>
      </c>
      <c r="B36" s="47">
        <v>0.74</v>
      </c>
      <c r="C36" s="47">
        <v>0.38</v>
      </c>
      <c r="D36" s="47">
        <v>0</v>
      </c>
      <c r="F36" s="51">
        <f>Assumptions!V209</f>
        <v>0</v>
      </c>
      <c r="G36" s="51">
        <f>Assumptions!AA209</f>
        <v>0</v>
      </c>
      <c r="H36" s="51">
        <f>Assumptions!AF209</f>
        <v>0</v>
      </c>
      <c r="K36" s="20" t="s">
        <v>426</v>
      </c>
    </row>
    <row r="38" spans="1:11" x14ac:dyDescent="0.25">
      <c r="A38" s="7" t="s">
        <v>101</v>
      </c>
    </row>
    <row r="39" spans="1:11" ht="14.5" x14ac:dyDescent="0.3">
      <c r="A39" s="76" t="s">
        <v>102</v>
      </c>
      <c r="B39" s="69"/>
      <c r="C39" s="69"/>
      <c r="D39" s="69"/>
      <c r="E39" s="69"/>
      <c r="F39" s="69"/>
    </row>
    <row r="40" spans="1:11" ht="14.5" x14ac:dyDescent="0.3">
      <c r="A40" s="80" t="s">
        <v>103</v>
      </c>
      <c r="B40" s="69"/>
      <c r="C40" s="69"/>
      <c r="D40" s="69"/>
      <c r="E40" s="69"/>
      <c r="F40" s="69"/>
    </row>
    <row r="41" spans="1:11" ht="14.5" x14ac:dyDescent="0.3">
      <c r="A41" s="79" t="s">
        <v>104</v>
      </c>
      <c r="B41" s="69"/>
      <c r="C41" s="69"/>
      <c r="D41" s="69"/>
      <c r="E41" s="69"/>
      <c r="F41" s="69"/>
    </row>
    <row r="42" spans="1:11" ht="14.5" x14ac:dyDescent="0.3">
      <c r="A42" s="77" t="s">
        <v>105</v>
      </c>
      <c r="B42" s="69"/>
      <c r="C42" s="69"/>
      <c r="D42" s="69"/>
      <c r="E42" s="69"/>
      <c r="F42" s="69"/>
    </row>
    <row r="43" spans="1:11" ht="14.5" x14ac:dyDescent="0.3">
      <c r="A43" s="77" t="s">
        <v>106</v>
      </c>
      <c r="B43" s="69"/>
      <c r="C43" s="69"/>
      <c r="D43" s="69"/>
      <c r="E43" s="69"/>
      <c r="F43" s="69"/>
    </row>
    <row r="44" spans="1:11" x14ac:dyDescent="0.25">
      <c r="A44" s="69" t="s">
        <v>107</v>
      </c>
      <c r="B44" s="69"/>
      <c r="C44" s="69"/>
      <c r="D44" s="69"/>
      <c r="E44" s="69"/>
      <c r="F44" s="69"/>
    </row>
    <row r="46" spans="1:11" x14ac:dyDescent="0.25">
      <c r="A46" s="7" t="s">
        <v>108</v>
      </c>
    </row>
    <row r="47" spans="1:11" ht="14.5" x14ac:dyDescent="0.3">
      <c r="A47" s="74" t="s">
        <v>109</v>
      </c>
      <c r="B47" s="69"/>
      <c r="C47" s="69"/>
      <c r="D47" s="69"/>
      <c r="E47" s="69"/>
      <c r="F47" s="69"/>
    </row>
    <row r="48" spans="1:11" ht="14.5" x14ac:dyDescent="0.3">
      <c r="A48" s="74" t="s">
        <v>110</v>
      </c>
      <c r="B48" s="69"/>
      <c r="C48" s="69"/>
      <c r="D48" s="69"/>
      <c r="E48" s="69"/>
      <c r="F48" s="69"/>
    </row>
    <row r="49" spans="1:6" ht="14.5" x14ac:dyDescent="0.3">
      <c r="A49" s="74" t="s">
        <v>111</v>
      </c>
      <c r="B49" s="69"/>
      <c r="C49" s="69"/>
      <c r="D49" s="69"/>
      <c r="E49" s="69"/>
      <c r="F49" s="69"/>
    </row>
    <row r="50" spans="1:6" ht="14.5" x14ac:dyDescent="0.3">
      <c r="A50" s="74" t="s">
        <v>112</v>
      </c>
      <c r="B50" s="69"/>
      <c r="C50" s="69"/>
      <c r="D50" s="69"/>
      <c r="E50" s="69"/>
      <c r="F50" s="69"/>
    </row>
    <row r="51" spans="1:6" ht="14.5" x14ac:dyDescent="0.3">
      <c r="A51" s="74" t="s">
        <v>113</v>
      </c>
      <c r="B51" s="69"/>
      <c r="C51" s="69"/>
      <c r="D51" s="69"/>
      <c r="E51" s="69"/>
      <c r="F51" s="69"/>
    </row>
  </sheetData>
  <mergeCells count="13">
    <mergeCell ref="A1:J1"/>
    <mergeCell ref="A49:F49"/>
    <mergeCell ref="A47:F47"/>
    <mergeCell ref="A42:F42"/>
    <mergeCell ref="A51:F51"/>
    <mergeCell ref="A44:F44"/>
    <mergeCell ref="A40:F40"/>
    <mergeCell ref="A50:F50"/>
    <mergeCell ref="A2:J2"/>
    <mergeCell ref="A39:F39"/>
    <mergeCell ref="A48:F48"/>
    <mergeCell ref="A43:F43"/>
    <mergeCell ref="A41:F41"/>
  </mergeCells>
  <phoneticPr fontId="26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K62"/>
  <sheetViews>
    <sheetView workbookViewId="0">
      <selection sqref="A1:J1"/>
    </sheetView>
  </sheetViews>
  <sheetFormatPr defaultRowHeight="14" x14ac:dyDescent="0.25"/>
  <cols>
    <col min="1" max="1" width="44" customWidth="1"/>
    <col min="2" max="4" width="14" customWidth="1"/>
    <col min="5" max="5" width="2" customWidth="1"/>
    <col min="6" max="9" width="14" customWidth="1"/>
    <col min="10" max="10" width="2" customWidth="1"/>
    <col min="11" max="11" width="55" customWidth="1"/>
  </cols>
  <sheetData>
    <row r="1" spans="1:11" ht="18.5" x14ac:dyDescent="0.45">
      <c r="A1" s="78" t="s">
        <v>427</v>
      </c>
      <c r="B1" s="69"/>
      <c r="C1" s="69"/>
      <c r="D1" s="69"/>
      <c r="E1" s="69"/>
      <c r="F1" s="69"/>
      <c r="G1" s="69"/>
      <c r="H1" s="69"/>
      <c r="I1" s="69"/>
      <c r="J1" s="69"/>
    </row>
    <row r="2" spans="1:11" ht="14.5" x14ac:dyDescent="0.3">
      <c r="A2" s="75" t="s">
        <v>43</v>
      </c>
      <c r="B2" s="69"/>
      <c r="C2" s="69"/>
      <c r="D2" s="69"/>
      <c r="E2" s="69"/>
      <c r="F2" s="69"/>
      <c r="G2" s="69"/>
      <c r="H2" s="69"/>
      <c r="I2" s="69"/>
      <c r="J2" s="69"/>
    </row>
    <row r="3" spans="1:11" x14ac:dyDescent="0.25">
      <c r="A3" s="11"/>
      <c r="B3" s="12" t="s">
        <v>46</v>
      </c>
      <c r="C3" s="12" t="s">
        <v>47</v>
      </c>
      <c r="D3" s="12" t="s">
        <v>48</v>
      </c>
      <c r="E3" s="11"/>
      <c r="F3" s="12" t="s">
        <v>49</v>
      </c>
      <c r="G3" s="12" t="s">
        <v>50</v>
      </c>
      <c r="H3" s="12" t="s">
        <v>51</v>
      </c>
      <c r="I3" s="11"/>
      <c r="J3" s="11"/>
      <c r="K3" s="12" t="s">
        <v>52</v>
      </c>
    </row>
    <row r="4" spans="1:11" x14ac:dyDescent="0.25">
      <c r="A4" s="7" t="s">
        <v>428</v>
      </c>
      <c r="K4" s="20" t="s">
        <v>429</v>
      </c>
    </row>
    <row r="5" spans="1:11" ht="15" x14ac:dyDescent="0.35">
      <c r="A5" s="9" t="s">
        <v>430</v>
      </c>
      <c r="B5" s="10"/>
      <c r="C5" s="10"/>
      <c r="D5" s="10"/>
      <c r="E5" s="10"/>
      <c r="F5" s="10"/>
      <c r="G5" s="10"/>
      <c r="H5" s="10"/>
      <c r="I5" s="10"/>
      <c r="J5" s="10"/>
    </row>
    <row r="6" spans="1:11" ht="15" x14ac:dyDescent="0.35">
      <c r="A6" s="9" t="s">
        <v>431</v>
      </c>
      <c r="B6" s="10"/>
      <c r="C6" s="10"/>
      <c r="D6" s="10"/>
      <c r="E6" s="10"/>
      <c r="F6" s="10"/>
      <c r="G6" s="10"/>
      <c r="H6" s="10"/>
      <c r="I6" s="10"/>
      <c r="J6" s="10"/>
    </row>
    <row r="7" spans="1:11" x14ac:dyDescent="0.25">
      <c r="A7" s="18" t="s">
        <v>432</v>
      </c>
      <c r="B7" s="41">
        <v>7079</v>
      </c>
      <c r="C7" s="41">
        <v>8249</v>
      </c>
      <c r="D7" s="41">
        <v>14265</v>
      </c>
      <c r="F7" s="13">
        <f>F43-F20-(F8+F9+F10+F11)</f>
        <v>21388.263210958918</v>
      </c>
      <c r="G7" s="13">
        <f>G43-G20-(G8+G9+G10+G11)</f>
        <v>21900.33546270548</v>
      </c>
      <c r="H7" s="13">
        <f>H43-H20-(H8+H9+H10+H11)</f>
        <v>25995.590754760276</v>
      </c>
      <c r="K7" s="20" t="s">
        <v>433</v>
      </c>
    </row>
    <row r="8" spans="1:11" x14ac:dyDescent="0.25">
      <c r="A8" s="7" t="s">
        <v>434</v>
      </c>
      <c r="B8" s="41">
        <v>17955</v>
      </c>
      <c r="C8" s="41">
        <v>13813</v>
      </c>
      <c r="D8" s="41">
        <v>23151</v>
      </c>
      <c r="F8" s="41">
        <v>24000</v>
      </c>
      <c r="G8" s="41">
        <v>24000</v>
      </c>
      <c r="H8" s="41">
        <v>24000</v>
      </c>
      <c r="K8" s="20" t="s">
        <v>435</v>
      </c>
    </row>
    <row r="9" spans="1:11" x14ac:dyDescent="0.25">
      <c r="A9" s="7" t="s">
        <v>436</v>
      </c>
      <c r="B9" s="41">
        <v>3402</v>
      </c>
      <c r="C9" s="41">
        <v>3478</v>
      </c>
      <c r="D9" s="41">
        <v>3839</v>
      </c>
      <c r="F9" s="42">
        <f>Consolidated_PL!F5*Assumptions!V155/365</f>
        <v>3743.2876712328766</v>
      </c>
      <c r="G9" s="42">
        <f>Consolidated_PL!G5*Assumptions!AA155/365</f>
        <v>4232.9965753424658</v>
      </c>
      <c r="H9" s="42">
        <f>Consolidated_PL!H5*Assumptions!AF155/365</f>
        <v>4633.1438356164381</v>
      </c>
      <c r="K9" s="20" t="s">
        <v>437</v>
      </c>
    </row>
    <row r="10" spans="1:11" x14ac:dyDescent="0.25">
      <c r="A10" s="7" t="s">
        <v>438</v>
      </c>
      <c r="B10" s="41">
        <v>11127</v>
      </c>
      <c r="C10" s="41">
        <v>12198</v>
      </c>
      <c r="D10" s="41">
        <v>11618</v>
      </c>
      <c r="F10" s="42">
        <f>Consolidated_PL!F6*Assumptions!V167/365</f>
        <v>11510.609589041092</v>
      </c>
      <c r="G10" s="42">
        <f>Consolidated_PL!G6*Assumptions!AA167/365</f>
        <v>12487.339897260274</v>
      </c>
      <c r="H10" s="42">
        <f>Consolidated_PL!H6*Assumptions!AF167/365</f>
        <v>13088.631335616436</v>
      </c>
      <c r="K10" s="20" t="s">
        <v>439</v>
      </c>
    </row>
    <row r="11" spans="1:11" x14ac:dyDescent="0.25">
      <c r="A11" s="7" t="s">
        <v>440</v>
      </c>
      <c r="B11" s="41">
        <v>3706</v>
      </c>
      <c r="C11" s="41">
        <v>9586</v>
      </c>
      <c r="D11" s="41">
        <v>10815</v>
      </c>
      <c r="F11" s="42">
        <f>Consolidated_PL!F5*Assumptions!V179</f>
        <v>8197.7999999999993</v>
      </c>
      <c r="G11" s="42">
        <f>Consolidated_PL!G5*Assumptions!AA179</f>
        <v>9270.2624999999989</v>
      </c>
      <c r="H11" s="42">
        <f>Consolidated_PL!H5*Assumptions!AF179</f>
        <v>10146.584999999999</v>
      </c>
      <c r="K11" s="20" t="s">
        <v>441</v>
      </c>
    </row>
    <row r="12" spans="1:11" x14ac:dyDescent="0.25">
      <c r="A12" s="18" t="s">
        <v>442</v>
      </c>
      <c r="B12" s="42">
        <f>B7+B8+B9+B10+B11</f>
        <v>43269</v>
      </c>
      <c r="C12" s="42">
        <f>C7+C8+C9+C10+C11</f>
        <v>47324</v>
      </c>
      <c r="D12" s="42">
        <f>D7+D8+D9+D10+D11</f>
        <v>63688</v>
      </c>
      <c r="F12" s="42">
        <f>F7+F8+F9+F10+F11</f>
        <v>68839.960471232887</v>
      </c>
      <c r="G12" s="42">
        <f>G7+G8+G9+G10+G11</f>
        <v>71890.934435308212</v>
      </c>
      <c r="H12" s="42">
        <f>H7+H8+H9+H10+H11</f>
        <v>77863.950925993151</v>
      </c>
      <c r="K12" s="20" t="s">
        <v>443</v>
      </c>
    </row>
    <row r="14" spans="1:11" ht="15" x14ac:dyDescent="0.35">
      <c r="A14" s="9" t="s">
        <v>444</v>
      </c>
      <c r="B14" s="10"/>
      <c r="C14" s="10"/>
      <c r="D14" s="10"/>
      <c r="E14" s="10"/>
      <c r="F14" s="10"/>
      <c r="G14" s="10"/>
      <c r="H14" s="10"/>
      <c r="I14" s="10"/>
      <c r="J14" s="10"/>
    </row>
    <row r="15" spans="1:11" ht="24" x14ac:dyDescent="0.25">
      <c r="A15" s="7" t="s">
        <v>445</v>
      </c>
      <c r="B15" s="41">
        <v>96647</v>
      </c>
      <c r="C15" s="41">
        <v>107919</v>
      </c>
      <c r="D15" s="41">
        <v>105414</v>
      </c>
      <c r="F15" s="42">
        <f>D15+Assumptions!V149-Consolidated_PL!F32</f>
        <v>110614</v>
      </c>
      <c r="G15" s="42">
        <f>F15+Assumptions!AA149-Consolidated_PL!G32</f>
        <v>116914</v>
      </c>
      <c r="H15" s="42">
        <f>G15+Assumptions!AF149-Consolidated_PL!H32</f>
        <v>124114</v>
      </c>
      <c r="K15" s="20" t="s">
        <v>446</v>
      </c>
    </row>
    <row r="16" spans="1:11" x14ac:dyDescent="0.25">
      <c r="A16" s="7" t="s">
        <v>447</v>
      </c>
      <c r="B16" s="41">
        <v>5829</v>
      </c>
      <c r="C16" s="41">
        <v>5383</v>
      </c>
      <c r="D16" s="41">
        <v>8512</v>
      </c>
      <c r="F16" s="41">
        <v>8500</v>
      </c>
      <c r="G16" s="41">
        <v>8500</v>
      </c>
      <c r="H16" s="41">
        <v>8500</v>
      </c>
      <c r="K16" s="20" t="s">
        <v>448</v>
      </c>
    </row>
    <row r="17" spans="1:11" x14ac:dyDescent="0.25">
      <c r="A17" s="7" t="s">
        <v>449</v>
      </c>
      <c r="B17" s="41">
        <v>27591</v>
      </c>
      <c r="C17" s="41">
        <v>24693</v>
      </c>
      <c r="D17" s="41">
        <v>23912</v>
      </c>
      <c r="F17" s="41">
        <v>20012</v>
      </c>
      <c r="G17" s="41">
        <v>20012</v>
      </c>
      <c r="H17" s="41">
        <v>20012</v>
      </c>
      <c r="K17" s="20" t="s">
        <v>450</v>
      </c>
    </row>
    <row r="18" spans="1:11" x14ac:dyDescent="0.25">
      <c r="A18" s="7" t="s">
        <v>451</v>
      </c>
      <c r="B18" s="41">
        <v>4589</v>
      </c>
      <c r="C18" s="41">
        <v>3691</v>
      </c>
      <c r="D18" s="41">
        <v>2772</v>
      </c>
      <c r="F18" s="42">
        <f>D18-500</f>
        <v>2272</v>
      </c>
      <c r="G18" s="42">
        <f>F18-500</f>
        <v>1772</v>
      </c>
      <c r="H18" s="42">
        <f>G18-500</f>
        <v>1272</v>
      </c>
      <c r="K18" s="20" t="s">
        <v>452</v>
      </c>
    </row>
    <row r="19" spans="1:11" x14ac:dyDescent="0.25">
      <c r="A19" s="7" t="s">
        <v>453</v>
      </c>
      <c r="B19" s="41">
        <v>13647</v>
      </c>
      <c r="C19" s="41">
        <v>7475</v>
      </c>
      <c r="D19" s="41">
        <v>7131</v>
      </c>
      <c r="F19" s="41">
        <v>7000</v>
      </c>
      <c r="G19" s="41">
        <v>7000</v>
      </c>
      <c r="H19" s="41">
        <v>7000</v>
      </c>
      <c r="K19" s="20" t="s">
        <v>454</v>
      </c>
    </row>
    <row r="20" spans="1:11" x14ac:dyDescent="0.25">
      <c r="A20" s="18" t="s">
        <v>455</v>
      </c>
      <c r="B20" s="42">
        <f>B15+B16+B17+B18+B19</f>
        <v>148303</v>
      </c>
      <c r="C20" s="42">
        <f>C15+C16+C17+C18+C19</f>
        <v>149161</v>
      </c>
      <c r="D20" s="42">
        <f>D15+D16+D17+D18+D19</f>
        <v>147741</v>
      </c>
      <c r="F20" s="42">
        <f>F15+F16+F17+F18+F19</f>
        <v>148398</v>
      </c>
      <c r="G20" s="42">
        <f>G15+G16+G17+G18+G19</f>
        <v>154198</v>
      </c>
      <c r="H20" s="42">
        <f>H15+H16+H17+H18+H19</f>
        <v>160898</v>
      </c>
    </row>
    <row r="21" spans="1:11" x14ac:dyDescent="0.25">
      <c r="A21" s="18" t="s">
        <v>456</v>
      </c>
      <c r="B21" s="13">
        <f>B12+B20</f>
        <v>191572</v>
      </c>
      <c r="C21" s="13">
        <f>C12+C20</f>
        <v>196485</v>
      </c>
      <c r="D21" s="13">
        <f>D12+D20</f>
        <v>211429</v>
      </c>
      <c r="F21" s="13">
        <f>F12+F20</f>
        <v>217237.96047123289</v>
      </c>
      <c r="G21" s="13">
        <f>G12+G20</f>
        <v>226088.93443530821</v>
      </c>
      <c r="H21" s="13">
        <f>H12+H20</f>
        <v>238761.95092599315</v>
      </c>
    </row>
    <row r="24" spans="1:11" ht="15" x14ac:dyDescent="0.35">
      <c r="A24" s="9" t="s">
        <v>457</v>
      </c>
      <c r="B24" s="10"/>
      <c r="C24" s="10"/>
      <c r="D24" s="10"/>
      <c r="E24" s="10"/>
      <c r="F24" s="10"/>
      <c r="G24" s="10"/>
      <c r="H24" s="10"/>
      <c r="I24" s="10"/>
      <c r="J24" s="10"/>
    </row>
    <row r="25" spans="1:11" ht="15" x14ac:dyDescent="0.35">
      <c r="A25" s="9" t="s">
        <v>458</v>
      </c>
      <c r="B25" s="10"/>
      <c r="C25" s="10"/>
      <c r="D25" s="10"/>
      <c r="E25" s="10"/>
      <c r="F25" s="10"/>
      <c r="G25" s="10"/>
      <c r="H25" s="10"/>
      <c r="I25" s="10"/>
      <c r="J25" s="10"/>
    </row>
    <row r="26" spans="1:11" x14ac:dyDescent="0.25">
      <c r="A26" s="7" t="s">
        <v>459</v>
      </c>
      <c r="B26" s="41">
        <v>8578</v>
      </c>
      <c r="C26" s="41">
        <v>12556</v>
      </c>
      <c r="D26" s="41">
        <v>9882</v>
      </c>
      <c r="F26" s="42">
        <f>Consolidated_PL!F6*Assumptions!V161/365</f>
        <v>9208.4876712328751</v>
      </c>
      <c r="G26" s="42">
        <f>Consolidated_PL!G6*Assumptions!AA161/365</f>
        <v>9989.8719178082192</v>
      </c>
      <c r="H26" s="42">
        <f>Consolidated_PL!H6*Assumptions!AF161/365</f>
        <v>10470.90506849315</v>
      </c>
      <c r="K26" s="20" t="s">
        <v>460</v>
      </c>
    </row>
    <row r="27" spans="1:11" x14ac:dyDescent="0.25">
      <c r="A27" s="7" t="s">
        <v>461</v>
      </c>
      <c r="B27" s="41">
        <v>3655</v>
      </c>
      <c r="C27" s="41">
        <v>3343</v>
      </c>
      <c r="D27" s="41">
        <v>3990</v>
      </c>
      <c r="F27" s="42">
        <f>Consolidated_PL!F5*Assumptions!V173</f>
        <v>3825.6400000000003</v>
      </c>
      <c r="G27" s="42">
        <f>Consolidated_PL!G5*Assumptions!AA173</f>
        <v>4326.1225000000004</v>
      </c>
      <c r="H27" s="42">
        <f>Consolidated_PL!H5*Assumptions!AF173</f>
        <v>4735.0730000000003</v>
      </c>
      <c r="K27" s="20" t="s">
        <v>462</v>
      </c>
    </row>
    <row r="28" spans="1:11" x14ac:dyDescent="0.25">
      <c r="A28" s="7" t="s">
        <v>463</v>
      </c>
      <c r="B28" s="41">
        <v>2288</v>
      </c>
      <c r="C28" s="41">
        <v>3729</v>
      </c>
      <c r="D28" s="41">
        <v>2499</v>
      </c>
      <c r="F28" s="41">
        <v>2500</v>
      </c>
      <c r="G28" s="41">
        <v>2500</v>
      </c>
      <c r="H28" s="41">
        <v>2500</v>
      </c>
      <c r="K28" s="20" t="s">
        <v>464</v>
      </c>
    </row>
    <row r="29" spans="1:11" x14ac:dyDescent="0.25">
      <c r="A29" s="7" t="s">
        <v>465</v>
      </c>
      <c r="B29" s="41">
        <v>1107</v>
      </c>
      <c r="C29" s="41">
        <v>1756</v>
      </c>
      <c r="D29" s="41">
        <v>604</v>
      </c>
      <c r="F29" s="42">
        <f>Consolidated_PL!F5*Assumptions!V191</f>
        <v>1093.04</v>
      </c>
      <c r="G29" s="42">
        <f>Consolidated_PL!G5*Assumptions!AA191</f>
        <v>1236.0350000000001</v>
      </c>
      <c r="H29" s="42">
        <f>Consolidated_PL!H5*Assumptions!AF191</f>
        <v>1352.8779999999999</v>
      </c>
      <c r="K29" s="20" t="s">
        <v>466</v>
      </c>
    </row>
    <row r="30" spans="1:11" x14ac:dyDescent="0.25">
      <c r="A30" s="7" t="s">
        <v>467</v>
      </c>
      <c r="B30" s="41">
        <v>12425</v>
      </c>
      <c r="C30" s="41">
        <v>14282</v>
      </c>
      <c r="D30" s="41">
        <v>14600</v>
      </c>
      <c r="F30" s="42">
        <f>Consolidated_PL!F5*Assumptions!V185</f>
        <v>13663</v>
      </c>
      <c r="G30" s="42">
        <f>Consolidated_PL!G5*Assumptions!AA185</f>
        <v>15450.4375</v>
      </c>
      <c r="H30" s="42">
        <f>Consolidated_PL!H5*Assumptions!AF185</f>
        <v>16910.974999999999</v>
      </c>
      <c r="K30" s="20" t="s">
        <v>468</v>
      </c>
    </row>
    <row r="31" spans="1:11" x14ac:dyDescent="0.25">
      <c r="A31" s="18" t="s">
        <v>469</v>
      </c>
      <c r="B31" s="42">
        <f>B26+B27+B28+B29+B30</f>
        <v>28053</v>
      </c>
      <c r="C31" s="42">
        <f>C26+C27+C28+C29+C30</f>
        <v>35666</v>
      </c>
      <c r="D31" s="42">
        <f>D26+D27+D28+D29+D30</f>
        <v>31575</v>
      </c>
      <c r="F31" s="42">
        <f>F26+F27+F28+F29+F30</f>
        <v>30290.167671232877</v>
      </c>
      <c r="G31" s="42">
        <f>G26+G27+G28+G29+G30</f>
        <v>33502.466917808219</v>
      </c>
      <c r="H31" s="42">
        <f>H26+H27+H28+H29+H30</f>
        <v>35969.831068493149</v>
      </c>
    </row>
    <row r="33" spans="1:11" ht="15" x14ac:dyDescent="0.35">
      <c r="A33" s="9" t="s">
        <v>470</v>
      </c>
      <c r="B33" s="10"/>
      <c r="C33" s="10"/>
      <c r="D33" s="10"/>
      <c r="E33" s="10"/>
      <c r="F33" s="10"/>
      <c r="G33" s="10"/>
      <c r="H33" s="10"/>
      <c r="I33" s="10"/>
      <c r="J33" s="10"/>
    </row>
    <row r="34" spans="1:11" x14ac:dyDescent="0.25">
      <c r="A34" s="7" t="s">
        <v>471</v>
      </c>
      <c r="B34" s="41">
        <v>46978</v>
      </c>
      <c r="C34" s="41">
        <v>46282</v>
      </c>
      <c r="D34" s="41">
        <v>44086</v>
      </c>
      <c r="F34" s="42">
        <f>Assumptions!V197-F28</f>
        <v>47000</v>
      </c>
      <c r="G34" s="42">
        <f>Assumptions!AA197-G28</f>
        <v>44700</v>
      </c>
      <c r="H34" s="42">
        <f>Assumptions!AF197-H28</f>
        <v>43500</v>
      </c>
      <c r="K34" s="20" t="s">
        <v>472</v>
      </c>
    </row>
    <row r="35" spans="1:11" x14ac:dyDescent="0.25">
      <c r="A35" s="7" t="s">
        <v>473</v>
      </c>
      <c r="B35" s="41">
        <v>6576</v>
      </c>
      <c r="C35" s="41">
        <v>9505</v>
      </c>
      <c r="D35" s="41">
        <v>9408</v>
      </c>
      <c r="F35" s="41">
        <v>9500</v>
      </c>
      <c r="G35" s="41">
        <v>9500</v>
      </c>
      <c r="H35" s="41">
        <v>9500</v>
      </c>
      <c r="K35" s="20" t="s">
        <v>474</v>
      </c>
    </row>
    <row r="36" spans="1:11" x14ac:dyDescent="0.25">
      <c r="A36" s="18" t="s">
        <v>475</v>
      </c>
      <c r="B36" s="42">
        <f>B34+B35</f>
        <v>53554</v>
      </c>
      <c r="C36" s="42">
        <f>C34+C35</f>
        <v>55787</v>
      </c>
      <c r="D36" s="42">
        <f>D34+D35</f>
        <v>53494</v>
      </c>
      <c r="F36" s="42">
        <f>F34+F35</f>
        <v>56500</v>
      </c>
      <c r="G36" s="42">
        <f>G34+G35</f>
        <v>54200</v>
      </c>
      <c r="H36" s="42">
        <f>H34+H35</f>
        <v>53000</v>
      </c>
    </row>
    <row r="37" spans="1:11" x14ac:dyDescent="0.25">
      <c r="A37" s="18" t="s">
        <v>476</v>
      </c>
      <c r="B37" s="42">
        <f>B31+B36</f>
        <v>81607</v>
      </c>
      <c r="C37" s="42">
        <f>C31+C36</f>
        <v>91453</v>
      </c>
      <c r="D37" s="42">
        <f>D31+D36</f>
        <v>85069</v>
      </c>
      <c r="F37" s="42">
        <f>F31+F36</f>
        <v>86790.167671232877</v>
      </c>
      <c r="G37" s="42">
        <f>G31+G36</f>
        <v>87702.466917808226</v>
      </c>
      <c r="H37" s="42">
        <f>H31+H36</f>
        <v>88969.831068493149</v>
      </c>
    </row>
    <row r="39" spans="1:11" ht="15" x14ac:dyDescent="0.35">
      <c r="A39" s="9" t="s">
        <v>477</v>
      </c>
      <c r="B39" s="10"/>
      <c r="C39" s="10"/>
      <c r="D39" s="10"/>
      <c r="E39" s="10"/>
      <c r="F39" s="10"/>
      <c r="G39" s="10"/>
      <c r="H39" s="10"/>
      <c r="I39" s="10"/>
      <c r="J39" s="10"/>
    </row>
    <row r="40" spans="1:11" x14ac:dyDescent="0.25">
      <c r="A40" s="7" t="s">
        <v>478</v>
      </c>
      <c r="B40" s="41">
        <v>105590</v>
      </c>
      <c r="C40" s="41">
        <v>99270</v>
      </c>
      <c r="D40" s="41">
        <v>114281</v>
      </c>
      <c r="F40" s="42">
        <f>D40+Consolidated_PL!F29+Consolidated_PL!F33+Assumptions!V215</f>
        <v>117918.7928</v>
      </c>
      <c r="G40" s="42">
        <f>F40+Consolidated_PL!G29+Consolidated_PL!G33+Assumptions!AA215</f>
        <v>125057.4675175</v>
      </c>
      <c r="H40" s="42">
        <f>G40+Consolidated_PL!H29+Consolidated_PL!H33+Assumptions!AF215</f>
        <v>135663.11985750002</v>
      </c>
      <c r="K40" s="20" t="s">
        <v>479</v>
      </c>
    </row>
    <row r="41" spans="1:11" ht="24" x14ac:dyDescent="0.25">
      <c r="A41" s="7" t="s">
        <v>480</v>
      </c>
      <c r="B41" s="41">
        <v>4375</v>
      </c>
      <c r="C41" s="41">
        <v>5762</v>
      </c>
      <c r="D41" s="41">
        <v>12079</v>
      </c>
      <c r="F41" s="42">
        <f>D41+Consolidated_PL!F28-300</f>
        <v>12529</v>
      </c>
      <c r="G41" s="42">
        <f>F41+Consolidated_PL!G28-300</f>
        <v>13329</v>
      </c>
      <c r="H41" s="42">
        <f>G41+Consolidated_PL!H28-300</f>
        <v>14129</v>
      </c>
      <c r="K41" s="20" t="s">
        <v>481</v>
      </c>
    </row>
    <row r="42" spans="1:11" x14ac:dyDescent="0.25">
      <c r="A42" s="18" t="s">
        <v>482</v>
      </c>
      <c r="B42" s="42">
        <f>B40+B41</f>
        <v>109965</v>
      </c>
      <c r="C42" s="42">
        <f>C40+C41</f>
        <v>105032</v>
      </c>
      <c r="D42" s="42">
        <f>D40+D41</f>
        <v>126360</v>
      </c>
      <c r="F42" s="42">
        <f>F40+F41</f>
        <v>130447.7928</v>
      </c>
      <c r="G42" s="42">
        <f>G40+G41</f>
        <v>138386.46751749999</v>
      </c>
      <c r="H42" s="42">
        <f>H40+H41</f>
        <v>149792.11985750002</v>
      </c>
    </row>
    <row r="43" spans="1:11" x14ac:dyDescent="0.25">
      <c r="A43" s="18" t="s">
        <v>483</v>
      </c>
      <c r="B43" s="13">
        <f>B37+B42</f>
        <v>191572</v>
      </c>
      <c r="C43" s="13">
        <f>C37+C42</f>
        <v>196485</v>
      </c>
      <c r="D43" s="13">
        <f>D37+D42</f>
        <v>211429</v>
      </c>
      <c r="F43" s="13">
        <f>F37+F42</f>
        <v>217237.96047123289</v>
      </c>
      <c r="G43" s="13">
        <f>G37+G42</f>
        <v>226088.93443530821</v>
      </c>
      <c r="H43" s="13">
        <f>H37+H42</f>
        <v>238761.95092599315</v>
      </c>
    </row>
    <row r="45" spans="1:11" x14ac:dyDescent="0.25">
      <c r="A45" s="7" t="s">
        <v>72</v>
      </c>
      <c r="B45" s="42">
        <f>B12+B20</f>
        <v>191572</v>
      </c>
      <c r="C45" s="42">
        <f>C12+C20</f>
        <v>196485</v>
      </c>
      <c r="D45" s="42">
        <f>D12+D20</f>
        <v>211429</v>
      </c>
      <c r="E45" s="10"/>
      <c r="F45" s="42">
        <f>F12+F20</f>
        <v>217237.96047123289</v>
      </c>
      <c r="G45" s="42">
        <f>G12+G20</f>
        <v>226088.93443530821</v>
      </c>
      <c r="H45" s="42">
        <f>H12+H20</f>
        <v>238761.95092599315</v>
      </c>
      <c r="I45" s="10"/>
      <c r="J45" s="10"/>
    </row>
    <row r="46" spans="1:11" x14ac:dyDescent="0.25">
      <c r="A46" s="7" t="s">
        <v>484</v>
      </c>
      <c r="B46" s="42">
        <f>B43</f>
        <v>191572</v>
      </c>
      <c r="C46" s="42">
        <f>C43</f>
        <v>196485</v>
      </c>
      <c r="D46" s="42">
        <f>D43</f>
        <v>211429</v>
      </c>
      <c r="F46" s="42">
        <f>F43</f>
        <v>217237.96047123289</v>
      </c>
      <c r="G46" s="42">
        <f>G43</f>
        <v>226088.93443530821</v>
      </c>
      <c r="H46" s="42">
        <f>H43</f>
        <v>238761.95092599315</v>
      </c>
    </row>
    <row r="47" spans="1:11" x14ac:dyDescent="0.25">
      <c r="A47" s="18" t="s">
        <v>485</v>
      </c>
      <c r="B47" s="37">
        <f>B45-B46</f>
        <v>0</v>
      </c>
      <c r="C47" s="37">
        <f>C45-C46</f>
        <v>0</v>
      </c>
      <c r="D47" s="37">
        <f>D45-D46</f>
        <v>0</v>
      </c>
      <c r="F47" s="37">
        <f>F45-F46</f>
        <v>0</v>
      </c>
      <c r="G47" s="37">
        <f>G45-G46</f>
        <v>0</v>
      </c>
      <c r="H47" s="37">
        <f>H45-H46</f>
        <v>0</v>
      </c>
      <c r="K47" s="20" t="s">
        <v>486</v>
      </c>
    </row>
    <row r="49" spans="1:6" x14ac:dyDescent="0.25">
      <c r="A49" s="7" t="s">
        <v>101</v>
      </c>
    </row>
    <row r="50" spans="1:6" ht="14.5" x14ac:dyDescent="0.3">
      <c r="A50" s="76" t="s">
        <v>102</v>
      </c>
      <c r="B50" s="69"/>
      <c r="C50" s="69"/>
      <c r="D50" s="69"/>
      <c r="E50" s="69"/>
      <c r="F50" s="69"/>
    </row>
    <row r="51" spans="1:6" ht="14.5" x14ac:dyDescent="0.3">
      <c r="A51" s="80" t="s">
        <v>103</v>
      </c>
      <c r="B51" s="69"/>
      <c r="C51" s="69"/>
      <c r="D51" s="69"/>
      <c r="E51" s="69"/>
      <c r="F51" s="69"/>
    </row>
    <row r="52" spans="1:6" ht="14.5" x14ac:dyDescent="0.3">
      <c r="A52" s="79" t="s">
        <v>104</v>
      </c>
      <c r="B52" s="69"/>
      <c r="C52" s="69"/>
      <c r="D52" s="69"/>
      <c r="E52" s="69"/>
      <c r="F52" s="69"/>
    </row>
    <row r="53" spans="1:6" ht="14.5" x14ac:dyDescent="0.3">
      <c r="A53" s="77" t="s">
        <v>105</v>
      </c>
      <c r="B53" s="69"/>
      <c r="C53" s="69"/>
      <c r="D53" s="69"/>
      <c r="E53" s="69"/>
      <c r="F53" s="69"/>
    </row>
    <row r="54" spans="1:6" ht="14.5" x14ac:dyDescent="0.3">
      <c r="A54" s="77" t="s">
        <v>106</v>
      </c>
      <c r="B54" s="69"/>
      <c r="C54" s="69"/>
      <c r="D54" s="69"/>
      <c r="E54" s="69"/>
      <c r="F54" s="69"/>
    </row>
    <row r="55" spans="1:6" x14ac:dyDescent="0.25">
      <c r="A55" s="69" t="s">
        <v>107</v>
      </c>
      <c r="B55" s="69"/>
      <c r="C55" s="69"/>
      <c r="D55" s="69"/>
      <c r="E55" s="69"/>
      <c r="F55" s="69"/>
    </row>
    <row r="57" spans="1:6" x14ac:dyDescent="0.25">
      <c r="A57" s="7" t="s">
        <v>108</v>
      </c>
    </row>
    <row r="58" spans="1:6" ht="14.5" x14ac:dyDescent="0.3">
      <c r="A58" s="74" t="s">
        <v>109</v>
      </c>
      <c r="B58" s="69"/>
      <c r="C58" s="69"/>
      <c r="D58" s="69"/>
      <c r="E58" s="69"/>
      <c r="F58" s="69"/>
    </row>
    <row r="59" spans="1:6" ht="14.5" x14ac:dyDescent="0.3">
      <c r="A59" s="74" t="s">
        <v>110</v>
      </c>
      <c r="B59" s="69"/>
      <c r="C59" s="69"/>
      <c r="D59" s="69"/>
      <c r="E59" s="69"/>
      <c r="F59" s="69"/>
    </row>
    <row r="60" spans="1:6" ht="14.5" x14ac:dyDescent="0.3">
      <c r="A60" s="74" t="s">
        <v>111</v>
      </c>
      <c r="B60" s="69"/>
      <c r="C60" s="69"/>
      <c r="D60" s="69"/>
      <c r="E60" s="69"/>
      <c r="F60" s="69"/>
    </row>
    <row r="61" spans="1:6" ht="14.5" x14ac:dyDescent="0.3">
      <c r="A61" s="74" t="s">
        <v>112</v>
      </c>
      <c r="B61" s="69"/>
      <c r="C61" s="69"/>
      <c r="D61" s="69"/>
      <c r="E61" s="69"/>
      <c r="F61" s="69"/>
    </row>
    <row r="62" spans="1:6" ht="14.5" x14ac:dyDescent="0.3">
      <c r="A62" s="74" t="s">
        <v>113</v>
      </c>
      <c r="B62" s="69"/>
      <c r="C62" s="69"/>
      <c r="D62" s="69"/>
      <c r="E62" s="69"/>
      <c r="F62" s="69"/>
    </row>
  </sheetData>
  <mergeCells count="13">
    <mergeCell ref="A1:J1"/>
    <mergeCell ref="A52:F52"/>
    <mergeCell ref="A51:F51"/>
    <mergeCell ref="A60:F60"/>
    <mergeCell ref="A61:F61"/>
    <mergeCell ref="A58:F58"/>
    <mergeCell ref="A50:F50"/>
    <mergeCell ref="A2:J2"/>
    <mergeCell ref="A62:F62"/>
    <mergeCell ref="A53:F53"/>
    <mergeCell ref="A55:F55"/>
    <mergeCell ref="A59:F59"/>
    <mergeCell ref="A54:F54"/>
  </mergeCells>
  <phoneticPr fontId="26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K52"/>
  <sheetViews>
    <sheetView workbookViewId="0">
      <selection sqref="A1:J1"/>
    </sheetView>
  </sheetViews>
  <sheetFormatPr defaultRowHeight="14" x14ac:dyDescent="0.25"/>
  <cols>
    <col min="1" max="1" width="44" customWidth="1"/>
    <col min="2" max="4" width="14" customWidth="1"/>
    <col min="5" max="5" width="2" customWidth="1"/>
    <col min="6" max="9" width="14" customWidth="1"/>
    <col min="10" max="10" width="2" customWidth="1"/>
    <col min="11" max="11" width="55" customWidth="1"/>
  </cols>
  <sheetData>
    <row r="1" spans="1:11" ht="18.5" x14ac:dyDescent="0.45">
      <c r="A1" s="78" t="s">
        <v>487</v>
      </c>
      <c r="B1" s="69"/>
      <c r="C1" s="69"/>
      <c r="D1" s="69"/>
      <c r="E1" s="69"/>
      <c r="F1" s="69"/>
      <c r="G1" s="69"/>
      <c r="H1" s="69"/>
      <c r="I1" s="69"/>
      <c r="J1" s="69"/>
    </row>
    <row r="2" spans="1:11" ht="14.5" x14ac:dyDescent="0.3">
      <c r="A2" s="75" t="s">
        <v>43</v>
      </c>
      <c r="B2" s="69"/>
      <c r="C2" s="69"/>
      <c r="D2" s="69"/>
      <c r="E2" s="69"/>
      <c r="F2" s="69"/>
      <c r="G2" s="69"/>
      <c r="H2" s="69"/>
      <c r="I2" s="69"/>
      <c r="J2" s="69"/>
    </row>
    <row r="3" spans="1:11" x14ac:dyDescent="0.25">
      <c r="A3" s="11"/>
      <c r="B3" s="12" t="s">
        <v>46</v>
      </c>
      <c r="C3" s="12" t="s">
        <v>47</v>
      </c>
      <c r="D3" s="12" t="s">
        <v>48</v>
      </c>
      <c r="E3" s="11"/>
      <c r="F3" s="12" t="s">
        <v>49</v>
      </c>
      <c r="G3" s="12" t="s">
        <v>50</v>
      </c>
      <c r="H3" s="12" t="s">
        <v>51</v>
      </c>
      <c r="I3" s="11"/>
      <c r="J3" s="11"/>
      <c r="K3" s="12" t="s">
        <v>52</v>
      </c>
    </row>
    <row r="4" spans="1:11" x14ac:dyDescent="0.25">
      <c r="A4" s="7" t="s">
        <v>428</v>
      </c>
      <c r="K4" s="20" t="s">
        <v>488</v>
      </c>
    </row>
    <row r="5" spans="1:11" ht="15" x14ac:dyDescent="0.35">
      <c r="A5" s="9" t="s">
        <v>489</v>
      </c>
      <c r="B5" s="10"/>
      <c r="C5" s="10"/>
      <c r="D5" s="10"/>
      <c r="E5" s="10"/>
      <c r="F5" s="10"/>
      <c r="G5" s="10"/>
      <c r="H5" s="10"/>
      <c r="I5" s="10"/>
      <c r="J5" s="10"/>
    </row>
    <row r="6" spans="1:11" x14ac:dyDescent="0.25">
      <c r="A6" s="7" t="s">
        <v>409</v>
      </c>
      <c r="B6" s="17">
        <f>Consolidated_PL!B26</f>
        <v>1880</v>
      </c>
      <c r="C6" s="17">
        <f>Consolidated_PL!C26</f>
        <v>-19072</v>
      </c>
      <c r="D6" s="17">
        <f>Consolidated_PL!D26</f>
        <v>-593</v>
      </c>
      <c r="F6" s="17">
        <f>Consolidated_PL!F26</f>
        <v>1587.7928000000004</v>
      </c>
      <c r="G6" s="17">
        <f>Consolidated_PL!G26</f>
        <v>5438.674717500001</v>
      </c>
      <c r="H6" s="17">
        <f>Consolidated_PL!H26</f>
        <v>8905.6523400000005</v>
      </c>
      <c r="K6" s="20" t="s">
        <v>490</v>
      </c>
    </row>
    <row r="7" spans="1:11" x14ac:dyDescent="0.25">
      <c r="A7" s="7" t="s">
        <v>491</v>
      </c>
      <c r="B7" s="17">
        <f>Consolidated_PL!B32</f>
        <v>7847</v>
      </c>
      <c r="C7" s="17">
        <f>Consolidated_PL!C32</f>
        <v>9951</v>
      </c>
      <c r="D7" s="17">
        <f>Consolidated_PL!D32</f>
        <v>10757</v>
      </c>
      <c r="F7" s="17">
        <f>Consolidated_PL!F32</f>
        <v>12500</v>
      </c>
      <c r="G7" s="17">
        <f>Consolidated_PL!G32</f>
        <v>13200</v>
      </c>
      <c r="H7" s="17">
        <f>Consolidated_PL!H32</f>
        <v>13800</v>
      </c>
    </row>
    <row r="8" spans="1:11" x14ac:dyDescent="0.25">
      <c r="A8" s="7" t="s">
        <v>492</v>
      </c>
      <c r="B8" s="17">
        <f>Consolidated_PL!B33</f>
        <v>3229</v>
      </c>
      <c r="C8" s="17">
        <f>Consolidated_PL!C33</f>
        <v>3410</v>
      </c>
      <c r="D8" s="17">
        <f>Consolidated_PL!D33</f>
        <v>2434</v>
      </c>
      <c r="F8" s="17">
        <f>Consolidated_PL!F33</f>
        <v>2500</v>
      </c>
      <c r="G8" s="17">
        <f>Consolidated_PL!G33</f>
        <v>2500</v>
      </c>
      <c r="H8" s="17">
        <f>Consolidated_PL!H33</f>
        <v>2500</v>
      </c>
    </row>
    <row r="9" spans="1:11" x14ac:dyDescent="0.25">
      <c r="A9" s="7" t="s">
        <v>493</v>
      </c>
      <c r="B9" s="41">
        <v>-2033</v>
      </c>
      <c r="C9" s="41">
        <v>6132</v>
      </c>
      <c r="D9" s="41">
        <v>328</v>
      </c>
      <c r="F9" s="41">
        <v>0</v>
      </c>
      <c r="G9" s="41">
        <v>0</v>
      </c>
      <c r="H9" s="41">
        <v>0</v>
      </c>
      <c r="K9" s="20" t="s">
        <v>494</v>
      </c>
    </row>
    <row r="10" spans="1:11" x14ac:dyDescent="0.25">
      <c r="A10" s="7" t="s">
        <v>495</v>
      </c>
      <c r="B10" s="41">
        <v>6871</v>
      </c>
      <c r="C10" s="41">
        <v>11925</v>
      </c>
      <c r="D10" s="41">
        <v>-2958</v>
      </c>
      <c r="F10" s="41">
        <v>0</v>
      </c>
      <c r="G10" s="41">
        <v>0</v>
      </c>
      <c r="H10" s="41">
        <v>0</v>
      </c>
      <c r="K10" s="20" t="s">
        <v>496</v>
      </c>
    </row>
    <row r="12" spans="1:11" ht="15" x14ac:dyDescent="0.35">
      <c r="A12" s="9" t="s">
        <v>497</v>
      </c>
      <c r="B12" s="10"/>
      <c r="C12" s="10"/>
      <c r="D12" s="10"/>
      <c r="E12" s="10"/>
      <c r="F12" s="10"/>
      <c r="G12" s="10"/>
      <c r="H12" s="10"/>
      <c r="I12" s="10"/>
      <c r="J12" s="10"/>
    </row>
    <row r="13" spans="1:11" x14ac:dyDescent="0.25">
      <c r="A13" s="7" t="s">
        <v>498</v>
      </c>
      <c r="C13" s="42">
        <f>-(BS!C9-BS!B9)</f>
        <v>-76</v>
      </c>
      <c r="D13" s="42">
        <f>-(BS!D9-BS!C9)</f>
        <v>-361</v>
      </c>
      <c r="F13" s="42">
        <f>-(BS!F9-BS!D9)</f>
        <v>95.712328767123381</v>
      </c>
      <c r="G13" s="42">
        <f>-(BS!G9-BS!F9)</f>
        <v>-489.70890410958918</v>
      </c>
      <c r="H13" s="42">
        <f>-(BS!H9-BS!G9)</f>
        <v>-400.14726027397228</v>
      </c>
      <c r="K13" s="20" t="s">
        <v>499</v>
      </c>
    </row>
    <row r="14" spans="1:11" x14ac:dyDescent="0.25">
      <c r="A14" s="7" t="s">
        <v>500</v>
      </c>
      <c r="C14" s="42">
        <f>-(BS!C10-BS!B10)</f>
        <v>-1071</v>
      </c>
      <c r="D14" s="42">
        <f>-(BS!D10-BS!C10)</f>
        <v>580</v>
      </c>
      <c r="F14" s="42">
        <f>-(BS!F10-BS!D10)</f>
        <v>107.39041095890752</v>
      </c>
      <c r="G14" s="42">
        <f>-(BS!G10-BS!F10)</f>
        <v>-976.7303082191811</v>
      </c>
      <c r="H14" s="42">
        <f>-(BS!H10-BS!G10)</f>
        <v>-601.29143835616196</v>
      </c>
      <c r="K14" s="20" t="s">
        <v>501</v>
      </c>
    </row>
    <row r="15" spans="1:11" x14ac:dyDescent="0.25">
      <c r="A15" s="7" t="s">
        <v>502</v>
      </c>
      <c r="C15" s="42">
        <f>-(BS!C11-BS!B11)</f>
        <v>-5880</v>
      </c>
      <c r="D15" s="42">
        <f>-(BS!D11-BS!C11)</f>
        <v>-1229</v>
      </c>
      <c r="F15" s="42">
        <f>-(BS!F11-BS!D11)</f>
        <v>2617.2000000000007</v>
      </c>
      <c r="G15" s="42">
        <f>-(BS!G11-BS!F11)</f>
        <v>-1072.4624999999996</v>
      </c>
      <c r="H15" s="42">
        <f>-(BS!H11-BS!G11)</f>
        <v>-876.32250000000022</v>
      </c>
      <c r="K15" s="20" t="s">
        <v>503</v>
      </c>
    </row>
    <row r="16" spans="1:11" x14ac:dyDescent="0.25">
      <c r="A16" s="7" t="s">
        <v>504</v>
      </c>
      <c r="C16" s="42">
        <f>BS!C26-BS!B26</f>
        <v>3978</v>
      </c>
      <c r="D16" s="42">
        <f>BS!D26-BS!C26</f>
        <v>-2674</v>
      </c>
      <c r="F16" s="42">
        <f>BS!F26-BS!D26</f>
        <v>-673.51232876712493</v>
      </c>
      <c r="G16" s="42">
        <f>BS!G26-BS!F26</f>
        <v>781.38424657534415</v>
      </c>
      <c r="H16" s="42">
        <f>BS!H26-BS!G26</f>
        <v>481.03315068493066</v>
      </c>
      <c r="K16" s="20" t="s">
        <v>505</v>
      </c>
    </row>
    <row r="17" spans="1:11" x14ac:dyDescent="0.25">
      <c r="A17" s="7" t="s">
        <v>506</v>
      </c>
      <c r="C17" s="42">
        <f>BS!C27-BS!B27</f>
        <v>-312</v>
      </c>
      <c r="D17" s="42">
        <f>BS!D27-BS!C27</f>
        <v>647</v>
      </c>
      <c r="F17" s="42">
        <f>BS!F27-BS!D27</f>
        <v>-164.35999999999967</v>
      </c>
      <c r="G17" s="42">
        <f>BS!G27-BS!F27</f>
        <v>500.48250000000007</v>
      </c>
      <c r="H17" s="42">
        <f>BS!H27-BS!G27</f>
        <v>408.95049999999992</v>
      </c>
      <c r="K17" s="20" t="s">
        <v>507</v>
      </c>
    </row>
    <row r="18" spans="1:11" x14ac:dyDescent="0.25">
      <c r="A18" s="7" t="s">
        <v>508</v>
      </c>
      <c r="C18" s="42">
        <f>BS!C30-BS!B30</f>
        <v>1857</v>
      </c>
      <c r="D18" s="42">
        <f>BS!D30-BS!C30</f>
        <v>318</v>
      </c>
      <c r="F18" s="42">
        <f>BS!F30-BS!D30</f>
        <v>-937</v>
      </c>
      <c r="G18" s="42">
        <f>BS!G30-BS!F30</f>
        <v>1787.4375</v>
      </c>
      <c r="H18" s="42">
        <f>BS!H30-BS!G30</f>
        <v>1460.5374999999985</v>
      </c>
      <c r="K18" s="20" t="s">
        <v>509</v>
      </c>
    </row>
    <row r="19" spans="1:11" x14ac:dyDescent="0.25">
      <c r="A19" s="7" t="s">
        <v>510</v>
      </c>
      <c r="C19" s="42">
        <f>BS!C29-BS!B29</f>
        <v>649</v>
      </c>
      <c r="D19" s="42">
        <f>BS!D29-BS!C29</f>
        <v>-1152</v>
      </c>
      <c r="F19" s="42">
        <f>BS!F29-BS!D29</f>
        <v>489.03999999999996</v>
      </c>
      <c r="G19" s="42">
        <f>BS!G29-BS!F29</f>
        <v>142.99500000000012</v>
      </c>
      <c r="H19" s="42">
        <f>BS!H29-BS!G29</f>
        <v>116.84299999999985</v>
      </c>
      <c r="K19" s="20" t="s">
        <v>511</v>
      </c>
    </row>
    <row r="21" spans="1:11" x14ac:dyDescent="0.25">
      <c r="A21" s="18" t="s">
        <v>512</v>
      </c>
      <c r="B21" s="13">
        <f>B6+B7+B8+B17+B18+B13+B14+B15+B16+B17+B18+B19</f>
        <v>12956</v>
      </c>
      <c r="C21" s="13">
        <f>C6+C7+C8+C17+C18+C13+C14+C15+C16+C17+C18+C19</f>
        <v>-5021</v>
      </c>
      <c r="D21" s="13">
        <f>D6+D7+D8+D17+D18+D13+D14+D15+D16+D17+D18+D19</f>
        <v>9692</v>
      </c>
      <c r="F21" s="13">
        <f>F6+F7+F8+F17+F18+F13+F14+F15+F16+F17+F18+F19</f>
        <v>17020.90321095891</v>
      </c>
      <c r="G21" s="13">
        <f>G6+G7+G8+G17+G18+G13+G14+G15+G16+G17+G18+G19</f>
        <v>24099.992251746578</v>
      </c>
      <c r="H21" s="13">
        <f>H6+H7+H8+H17+H18+H13+H14+H15+H16+H17+H18+H19</f>
        <v>27664.743292054794</v>
      </c>
      <c r="K21" s="20" t="s">
        <v>513</v>
      </c>
    </row>
    <row r="23" spans="1:11" ht="15" x14ac:dyDescent="0.35">
      <c r="A23" s="9" t="s">
        <v>514</v>
      </c>
      <c r="B23" s="10"/>
      <c r="C23" s="10"/>
      <c r="D23" s="10"/>
      <c r="E23" s="10"/>
      <c r="F23" s="10"/>
      <c r="G23" s="10"/>
      <c r="H23" s="10"/>
      <c r="I23" s="10"/>
      <c r="J23" s="10"/>
    </row>
    <row r="24" spans="1:11" x14ac:dyDescent="0.25">
      <c r="A24" s="7" t="s">
        <v>515</v>
      </c>
      <c r="B24" s="41">
        <v>-25750</v>
      </c>
      <c r="C24" s="41">
        <v>-25122</v>
      </c>
      <c r="D24" s="41">
        <v>-17672</v>
      </c>
      <c r="F24" s="42">
        <f>-Assumptions!V149</f>
        <v>-17700</v>
      </c>
      <c r="G24" s="42">
        <f>-Assumptions!AA149</f>
        <v>-19500</v>
      </c>
      <c r="H24" s="42">
        <f>-Assumptions!AF149</f>
        <v>-21000</v>
      </c>
      <c r="K24" s="20" t="s">
        <v>516</v>
      </c>
    </row>
    <row r="25" spans="1:11" x14ac:dyDescent="0.25">
      <c r="A25" s="7" t="s">
        <v>517</v>
      </c>
      <c r="B25" s="14">
        <f>-B24/Consolidated_PL!B5</f>
        <v>0.4748469425389098</v>
      </c>
      <c r="C25" s="14">
        <f>-C24/Consolidated_PL!C5</f>
        <v>0.4730984350577202</v>
      </c>
      <c r="D25" s="14">
        <f>-D24/Consolidated_PL!D5</f>
        <v>0.33436134183490057</v>
      </c>
      <c r="F25" s="14">
        <f>-F24/Consolidated_PL!F5</f>
        <v>0.32386737905291663</v>
      </c>
      <c r="G25" s="14">
        <f>-G24/Consolidated_PL!G5</f>
        <v>0.31552504581180951</v>
      </c>
      <c r="H25" s="14">
        <f>-H24/Consolidated_PL!H5</f>
        <v>0.31044927924025673</v>
      </c>
    </row>
    <row r="26" spans="1:11" x14ac:dyDescent="0.25">
      <c r="A26" s="7" t="s">
        <v>518</v>
      </c>
      <c r="B26" s="41">
        <v>1546</v>
      </c>
      <c r="C26" s="41">
        <v>1581</v>
      </c>
      <c r="D26" s="41">
        <v>-1175</v>
      </c>
      <c r="F26" s="41">
        <v>0</v>
      </c>
      <c r="G26" s="41">
        <v>0</v>
      </c>
      <c r="H26" s="41">
        <v>0</v>
      </c>
      <c r="K26" s="20" t="s">
        <v>519</v>
      </c>
    </row>
    <row r="27" spans="1:11" x14ac:dyDescent="0.25">
      <c r="A27" s="18" t="s">
        <v>520</v>
      </c>
      <c r="B27" s="42">
        <f>B24+B26</f>
        <v>-24204</v>
      </c>
      <c r="C27" s="42">
        <f>C24+C26</f>
        <v>-23541</v>
      </c>
      <c r="D27" s="42">
        <f>D24+D26</f>
        <v>-18847</v>
      </c>
      <c r="F27" s="42">
        <f>F24+F26</f>
        <v>-17700</v>
      </c>
      <c r="G27" s="42">
        <f>G24+G26</f>
        <v>-19500</v>
      </c>
      <c r="H27" s="42">
        <f>H24+H26</f>
        <v>-21000</v>
      </c>
    </row>
    <row r="28" spans="1:11" x14ac:dyDescent="0.25">
      <c r="A28" s="18" t="s">
        <v>521</v>
      </c>
      <c r="B28" s="13">
        <f>B21+B27</f>
        <v>-11248</v>
      </c>
      <c r="C28" s="13">
        <f>C21+C27</f>
        <v>-28562</v>
      </c>
      <c r="D28" s="13">
        <f>D21+D27</f>
        <v>-9155</v>
      </c>
      <c r="F28" s="13">
        <f>F21+F27</f>
        <v>-679.09678904109023</v>
      </c>
      <c r="G28" s="13">
        <f>G21+G27</f>
        <v>4599.9922517465784</v>
      </c>
      <c r="H28" s="13">
        <f>H21+H27</f>
        <v>6664.7432920547944</v>
      </c>
      <c r="K28" s="20" t="s">
        <v>522</v>
      </c>
    </row>
    <row r="29" spans="1:11" x14ac:dyDescent="0.25">
      <c r="A29" s="7" t="s">
        <v>523</v>
      </c>
      <c r="B29" s="14">
        <f>B28/Consolidated_PL!B5</f>
        <v>-0.20742052076418085</v>
      </c>
      <c r="C29" s="14">
        <f>C28/Consolidated_PL!C5</f>
        <v>-0.5378806425491045</v>
      </c>
      <c r="D29" s="14">
        <f>D28/Consolidated_PL!D5</f>
        <v>-0.17321627911376838</v>
      </c>
      <c r="F29" s="14">
        <f>F28/Consolidated_PL!F5</f>
        <v>-1.2425835999434426E-2</v>
      </c>
      <c r="G29" s="14">
        <f>G28/Consolidated_PL!G5</f>
        <v>7.4431423895708101E-2</v>
      </c>
      <c r="H29" s="14">
        <f>H28/Consolidated_PL!H5</f>
        <v>9.8526892920940315E-2</v>
      </c>
    </row>
    <row r="31" spans="1:11" ht="15" x14ac:dyDescent="0.35">
      <c r="A31" s="9" t="s">
        <v>524</v>
      </c>
      <c r="B31" s="10"/>
      <c r="C31" s="10"/>
      <c r="D31" s="10"/>
      <c r="E31" s="10"/>
      <c r="F31" s="10"/>
      <c r="G31" s="10"/>
      <c r="H31" s="10"/>
      <c r="I31" s="10"/>
      <c r="J31" s="10"/>
    </row>
    <row r="32" spans="1:11" x14ac:dyDescent="0.25">
      <c r="A32" s="7" t="s">
        <v>525</v>
      </c>
      <c r="B32" s="41">
        <v>11453</v>
      </c>
      <c r="C32" s="41">
        <v>-462</v>
      </c>
      <c r="D32" s="41">
        <v>-2757</v>
      </c>
      <c r="F32" s="42">
        <f>Assumptions!V197-(BS!D34+BS!D28)</f>
        <v>2915</v>
      </c>
      <c r="G32" s="42">
        <f>Assumptions!AA197-Assumptions!V197</f>
        <v>-2300</v>
      </c>
      <c r="H32" s="42">
        <f>Assumptions!AF197-Assumptions!AA197</f>
        <v>-1200</v>
      </c>
      <c r="K32" s="20" t="s">
        <v>526</v>
      </c>
    </row>
    <row r="33" spans="1:11" x14ac:dyDescent="0.25">
      <c r="A33" s="7" t="s">
        <v>527</v>
      </c>
      <c r="B33" s="41">
        <v>2567</v>
      </c>
      <c r="C33" s="41">
        <v>356</v>
      </c>
      <c r="D33" s="41">
        <v>18586</v>
      </c>
      <c r="F33" s="17">
        <f>Assumptions!V215</f>
        <v>300</v>
      </c>
      <c r="G33" s="17">
        <f>Assumptions!AA215</f>
        <v>300</v>
      </c>
      <c r="H33" s="17">
        <f>Assumptions!AF215</f>
        <v>300</v>
      </c>
      <c r="K33" s="20" t="s">
        <v>528</v>
      </c>
    </row>
    <row r="34" spans="1:11" x14ac:dyDescent="0.25">
      <c r="A34" s="7" t="s">
        <v>529</v>
      </c>
      <c r="B34" s="41">
        <v>-3088</v>
      </c>
      <c r="C34" s="41">
        <v>-1599</v>
      </c>
      <c r="D34" s="41">
        <v>0</v>
      </c>
      <c r="F34" s="42">
        <f>-Assumptions!V209*Assumptions!V203</f>
        <v>0</v>
      </c>
      <c r="G34" s="42">
        <f>-Assumptions!AA209*Assumptions!AA203</f>
        <v>0</v>
      </c>
      <c r="H34" s="42">
        <f>-Assumptions!AF209*Assumptions!AF203</f>
        <v>0</v>
      </c>
      <c r="K34" s="20" t="s">
        <v>530</v>
      </c>
    </row>
    <row r="35" spans="1:11" x14ac:dyDescent="0.25">
      <c r="A35" s="7" t="s">
        <v>531</v>
      </c>
      <c r="B35" s="41">
        <v>3696</v>
      </c>
      <c r="C35" s="41">
        <v>12471</v>
      </c>
      <c r="D35" s="41">
        <v>1827</v>
      </c>
      <c r="F35" s="41">
        <v>500</v>
      </c>
      <c r="G35" s="41">
        <v>500</v>
      </c>
      <c r="H35" s="41">
        <v>500</v>
      </c>
      <c r="K35" s="20" t="s">
        <v>532</v>
      </c>
    </row>
    <row r="36" spans="1:11" x14ac:dyDescent="0.25">
      <c r="A36" s="18" t="s">
        <v>533</v>
      </c>
      <c r="B36" s="42">
        <f>B32+B33+B34+B35</f>
        <v>14628</v>
      </c>
      <c r="C36" s="42">
        <f>C32+C33+C34+C35</f>
        <v>10766</v>
      </c>
      <c r="D36" s="42">
        <f>D32+D33+D34+D35</f>
        <v>17656</v>
      </c>
      <c r="F36" s="42">
        <f>F32+F33+F34+F35</f>
        <v>3715</v>
      </c>
      <c r="G36" s="42">
        <f>G32+G33+G34+G35</f>
        <v>-1500</v>
      </c>
      <c r="H36" s="42">
        <f>H32+H33+H34+H35</f>
        <v>-400</v>
      </c>
    </row>
    <row r="37" spans="1:11" x14ac:dyDescent="0.25">
      <c r="A37" s="18" t="s">
        <v>534</v>
      </c>
      <c r="B37" s="13">
        <f>B21+B27+B36</f>
        <v>3380</v>
      </c>
      <c r="C37" s="13">
        <f>C21+C27+C36</f>
        <v>-17796</v>
      </c>
      <c r="D37" s="13">
        <f>D21+D27+D36</f>
        <v>8501</v>
      </c>
      <c r="F37" s="13">
        <f>F21+F27+F36</f>
        <v>3035.9032109589098</v>
      </c>
      <c r="G37" s="13">
        <f>G21+G27+G36</f>
        <v>3099.9922517465784</v>
      </c>
      <c r="H37" s="13">
        <f>H21+H27+H36</f>
        <v>6264.7432920547944</v>
      </c>
      <c r="K37" s="20" t="s">
        <v>535</v>
      </c>
    </row>
    <row r="39" spans="1:11" x14ac:dyDescent="0.25">
      <c r="A39" s="7" t="s">
        <v>101</v>
      </c>
    </row>
    <row r="40" spans="1:11" ht="14.5" x14ac:dyDescent="0.3">
      <c r="A40" s="76" t="s">
        <v>102</v>
      </c>
      <c r="B40" s="69"/>
      <c r="C40" s="69"/>
      <c r="D40" s="69"/>
      <c r="E40" s="69"/>
      <c r="F40" s="69"/>
    </row>
    <row r="41" spans="1:11" ht="14.5" x14ac:dyDescent="0.3">
      <c r="A41" s="80" t="s">
        <v>103</v>
      </c>
      <c r="B41" s="69"/>
      <c r="C41" s="69"/>
      <c r="D41" s="69"/>
      <c r="E41" s="69"/>
      <c r="F41" s="69"/>
    </row>
    <row r="42" spans="1:11" ht="14.5" x14ac:dyDescent="0.3">
      <c r="A42" s="79" t="s">
        <v>104</v>
      </c>
      <c r="B42" s="69"/>
      <c r="C42" s="69"/>
      <c r="D42" s="69"/>
      <c r="E42" s="69"/>
      <c r="F42" s="69"/>
    </row>
    <row r="43" spans="1:11" ht="14.5" x14ac:dyDescent="0.3">
      <c r="A43" s="77" t="s">
        <v>105</v>
      </c>
      <c r="B43" s="69"/>
      <c r="C43" s="69"/>
      <c r="D43" s="69"/>
      <c r="E43" s="69"/>
      <c r="F43" s="69"/>
    </row>
    <row r="44" spans="1:11" ht="14.5" x14ac:dyDescent="0.3">
      <c r="A44" s="77" t="s">
        <v>106</v>
      </c>
      <c r="B44" s="69"/>
      <c r="C44" s="69"/>
      <c r="D44" s="69"/>
      <c r="E44" s="69"/>
      <c r="F44" s="69"/>
    </row>
    <row r="45" spans="1:11" x14ac:dyDescent="0.25">
      <c r="A45" s="69" t="s">
        <v>107</v>
      </c>
      <c r="B45" s="69"/>
      <c r="C45" s="69"/>
      <c r="D45" s="69"/>
      <c r="E45" s="69"/>
      <c r="F45" s="69"/>
    </row>
    <row r="47" spans="1:11" x14ac:dyDescent="0.25">
      <c r="A47" s="7" t="s">
        <v>108</v>
      </c>
    </row>
    <row r="48" spans="1:11" ht="14.5" x14ac:dyDescent="0.3">
      <c r="A48" s="74" t="s">
        <v>109</v>
      </c>
      <c r="B48" s="69"/>
      <c r="C48" s="69"/>
      <c r="D48" s="69"/>
      <c r="E48" s="69"/>
      <c r="F48" s="69"/>
    </row>
    <row r="49" spans="1:6" ht="14.5" x14ac:dyDescent="0.3">
      <c r="A49" s="74" t="s">
        <v>110</v>
      </c>
      <c r="B49" s="69"/>
      <c r="C49" s="69"/>
      <c r="D49" s="69"/>
      <c r="E49" s="69"/>
      <c r="F49" s="69"/>
    </row>
    <row r="50" spans="1:6" ht="14.5" x14ac:dyDescent="0.3">
      <c r="A50" s="74" t="s">
        <v>111</v>
      </c>
      <c r="B50" s="69"/>
      <c r="C50" s="69"/>
      <c r="D50" s="69"/>
      <c r="E50" s="69"/>
      <c r="F50" s="69"/>
    </row>
    <row r="51" spans="1:6" ht="14.5" x14ac:dyDescent="0.3">
      <c r="A51" s="74" t="s">
        <v>112</v>
      </c>
      <c r="B51" s="69"/>
      <c r="C51" s="69"/>
      <c r="D51" s="69"/>
      <c r="E51" s="69"/>
      <c r="F51" s="69"/>
    </row>
    <row r="52" spans="1:6" ht="14.5" x14ac:dyDescent="0.3">
      <c r="A52" s="74" t="s">
        <v>113</v>
      </c>
      <c r="B52" s="69"/>
      <c r="C52" s="69"/>
      <c r="D52" s="69"/>
      <c r="E52" s="69"/>
      <c r="F52" s="69"/>
    </row>
  </sheetData>
  <mergeCells count="13">
    <mergeCell ref="A1:J1"/>
    <mergeCell ref="A49:F49"/>
    <mergeCell ref="A51:F51"/>
    <mergeCell ref="A42:F42"/>
    <mergeCell ref="A2:J2"/>
    <mergeCell ref="A52:F52"/>
    <mergeCell ref="A44:F44"/>
    <mergeCell ref="A45:F45"/>
    <mergeCell ref="A40:F40"/>
    <mergeCell ref="A50:F50"/>
    <mergeCell ref="A48:F48"/>
    <mergeCell ref="A43:F43"/>
    <mergeCell ref="A41:F41"/>
  </mergeCells>
  <phoneticPr fontId="26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CC"/>
  </sheetPr>
  <dimension ref="A1:K84"/>
  <sheetViews>
    <sheetView zoomScale="86" workbookViewId="0">
      <selection activeCell="B30" sqref="B30"/>
    </sheetView>
  </sheetViews>
  <sheetFormatPr defaultRowHeight="14" x14ac:dyDescent="0.25"/>
  <cols>
    <col min="1" max="1" width="44" customWidth="1"/>
    <col min="2" max="4" width="14" customWidth="1"/>
    <col min="5" max="5" width="2" customWidth="1"/>
    <col min="6" max="9" width="14" customWidth="1"/>
    <col min="10" max="10" width="2" customWidth="1"/>
    <col min="11" max="11" width="55" customWidth="1"/>
  </cols>
  <sheetData>
    <row r="1" spans="1:11" ht="18.5" x14ac:dyDescent="0.45">
      <c r="A1" s="78" t="s">
        <v>536</v>
      </c>
      <c r="B1" s="69"/>
      <c r="C1" s="69"/>
      <c r="D1" s="69"/>
      <c r="E1" s="69"/>
      <c r="F1" s="69"/>
      <c r="G1" s="69"/>
      <c r="H1" s="69"/>
      <c r="I1" s="69"/>
      <c r="J1" s="69"/>
    </row>
    <row r="2" spans="1:11" ht="14.5" x14ac:dyDescent="0.3">
      <c r="A2" s="75" t="s">
        <v>537</v>
      </c>
      <c r="B2" s="69"/>
      <c r="C2" s="69"/>
      <c r="D2" s="69"/>
      <c r="E2" s="69"/>
      <c r="F2" s="69"/>
      <c r="G2" s="69"/>
      <c r="H2" s="69"/>
      <c r="I2" s="69"/>
      <c r="J2" s="69"/>
    </row>
    <row r="3" spans="1:11" ht="14.5" x14ac:dyDescent="0.25">
      <c r="A3" s="21" t="s">
        <v>115</v>
      </c>
      <c r="B3" t="str">
        <f>Assumptions!B2</f>
        <v>Base</v>
      </c>
    </row>
    <row r="4" spans="1:11" x14ac:dyDescent="0.25">
      <c r="F4" s="12" t="s">
        <v>538</v>
      </c>
      <c r="G4" s="12" t="s">
        <v>539</v>
      </c>
      <c r="H4" s="12" t="s">
        <v>540</v>
      </c>
    </row>
    <row r="5" spans="1:11" x14ac:dyDescent="0.25">
      <c r="A5" s="11"/>
      <c r="B5" s="12" t="s">
        <v>46</v>
      </c>
      <c r="C5" s="12" t="s">
        <v>47</v>
      </c>
      <c r="D5" s="12" t="s">
        <v>48</v>
      </c>
      <c r="E5" s="11"/>
      <c r="F5" s="12" t="s">
        <v>49</v>
      </c>
      <c r="G5" s="12" t="s">
        <v>50</v>
      </c>
      <c r="H5" s="12" t="s">
        <v>51</v>
      </c>
      <c r="I5" s="12" t="s">
        <v>238</v>
      </c>
      <c r="K5" s="12" t="s">
        <v>52</v>
      </c>
    </row>
    <row r="7" spans="1:11" ht="15" x14ac:dyDescent="0.35">
      <c r="A7" s="9" t="s">
        <v>541</v>
      </c>
      <c r="B7" s="10"/>
      <c r="C7" s="10"/>
      <c r="D7" s="10"/>
      <c r="E7" s="10"/>
      <c r="F7" s="10"/>
      <c r="G7" s="10"/>
      <c r="H7" s="10"/>
      <c r="I7" s="10"/>
      <c r="J7" s="10"/>
    </row>
    <row r="8" spans="1:11" x14ac:dyDescent="0.25">
      <c r="A8" s="7" t="s">
        <v>542</v>
      </c>
      <c r="B8" s="52">
        <v>3.8800000000000001E-2</v>
      </c>
      <c r="C8" s="52">
        <v>4.2500000000000003E-2</v>
      </c>
      <c r="D8" s="52">
        <v>4.4999999999999998E-2</v>
      </c>
      <c r="E8" s="10"/>
      <c r="F8" s="53">
        <v>4.4999999999999998E-2</v>
      </c>
      <c r="G8" s="53">
        <v>4.4999999999999998E-2</v>
      </c>
      <c r="H8" s="53">
        <v>4.4999999999999998E-2</v>
      </c>
      <c r="I8" s="54">
        <f>CHOOSE(MATCH($B$3,{"Base","Bull","Bear"},0),F8,G8,H8)</f>
        <v>4.4999999999999998E-2</v>
      </c>
      <c r="J8" s="10"/>
      <c r="K8" s="20" t="s">
        <v>543</v>
      </c>
    </row>
    <row r="9" spans="1:11" x14ac:dyDescent="0.25">
      <c r="A9" s="7" t="s">
        <v>544</v>
      </c>
      <c r="B9" s="52">
        <v>5.5E-2</v>
      </c>
      <c r="C9" s="52">
        <v>5.5E-2</v>
      </c>
      <c r="D9" s="52">
        <v>5.5E-2</v>
      </c>
      <c r="E9" s="10"/>
      <c r="F9" s="53">
        <v>5.5E-2</v>
      </c>
      <c r="G9" s="53">
        <v>5.5E-2</v>
      </c>
      <c r="H9" s="53">
        <v>5.5E-2</v>
      </c>
      <c r="I9" s="54">
        <f>CHOOSE(MATCH($B$3,{"Base","Bull","Bear"},0),F9,G9,H9)</f>
        <v>5.5E-2</v>
      </c>
      <c r="J9" s="10"/>
      <c r="K9" s="20" t="s">
        <v>545</v>
      </c>
    </row>
    <row r="10" spans="1:11" x14ac:dyDescent="0.25">
      <c r="A10" s="7" t="s">
        <v>546</v>
      </c>
      <c r="B10" s="47">
        <v>1.2</v>
      </c>
      <c r="C10" s="47">
        <v>1.35</v>
      </c>
      <c r="D10" s="47">
        <v>1.5</v>
      </c>
      <c r="E10" s="10"/>
      <c r="F10" s="48">
        <v>1.5</v>
      </c>
      <c r="G10" s="48">
        <v>1.3</v>
      </c>
      <c r="H10" s="48">
        <v>1.8</v>
      </c>
      <c r="I10" s="54">
        <f>CHOOSE(MATCH($B$3,{"Base","Bull","Bear"},0),F10,G10,H10)</f>
        <v>1.5</v>
      </c>
      <c r="J10" s="10"/>
      <c r="K10" s="20" t="s">
        <v>547</v>
      </c>
    </row>
    <row r="11" spans="1:11" x14ac:dyDescent="0.25">
      <c r="A11" s="7" t="s">
        <v>548</v>
      </c>
      <c r="B11" s="52">
        <v>4.8000000000000001E-2</v>
      </c>
      <c r="C11" s="52">
        <v>0.05</v>
      </c>
      <c r="D11" s="52">
        <v>0.05</v>
      </c>
      <c r="E11" s="10"/>
      <c r="F11" s="53">
        <v>0.05</v>
      </c>
      <c r="G11" s="53">
        <v>0.05</v>
      </c>
      <c r="H11" s="53">
        <v>0.05</v>
      </c>
      <c r="I11" s="54">
        <f>CHOOSE(MATCH($B$3,{"Base","Bull","Bear"},0),F11,G11,H11)</f>
        <v>0.05</v>
      </c>
      <c r="J11" s="10"/>
      <c r="K11" s="20" t="s">
        <v>549</v>
      </c>
    </row>
    <row r="12" spans="1:11" x14ac:dyDescent="0.25">
      <c r="A12" s="7" t="s">
        <v>550</v>
      </c>
      <c r="B12" s="31">
        <v>0.3</v>
      </c>
      <c r="C12" s="31">
        <v>0.32</v>
      </c>
      <c r="D12" s="31">
        <v>0.32</v>
      </c>
      <c r="E12" s="10"/>
      <c r="F12" s="33">
        <v>0.25</v>
      </c>
      <c r="G12" s="33">
        <v>0.2</v>
      </c>
      <c r="H12" s="33">
        <v>0.35</v>
      </c>
      <c r="I12" s="54">
        <f>CHOOSE(MATCH($B$3,{"Base","Bull","Bear"},0),F12,G12,H12)</f>
        <v>0.25</v>
      </c>
      <c r="J12" s="10"/>
      <c r="K12" s="20" t="s">
        <v>551</v>
      </c>
    </row>
    <row r="13" spans="1:11" x14ac:dyDescent="0.25">
      <c r="A13" s="7" t="s">
        <v>552</v>
      </c>
      <c r="B13" s="10"/>
      <c r="C13" s="10"/>
      <c r="D13" s="10"/>
      <c r="E13" s="10"/>
      <c r="F13" s="53">
        <v>0.12</v>
      </c>
      <c r="G13" s="53">
        <v>0.11</v>
      </c>
      <c r="H13" s="53">
        <v>0.15</v>
      </c>
      <c r="I13" s="54">
        <f>CHOOSE(MATCH($B$3,{"Base","Bull","Bear"},0),F13,G13,H13)</f>
        <v>0.12</v>
      </c>
      <c r="J13" s="10"/>
      <c r="K13" s="20" t="s">
        <v>553</v>
      </c>
    </row>
    <row r="14" spans="1:11" x14ac:dyDescent="0.25">
      <c r="A14" s="7" t="s">
        <v>554</v>
      </c>
      <c r="B14" s="10"/>
      <c r="C14" s="10"/>
      <c r="D14" s="10"/>
      <c r="E14" s="10"/>
      <c r="F14" s="53">
        <v>2.5000000000000001E-2</v>
      </c>
      <c r="G14" s="53">
        <v>0.03</v>
      </c>
      <c r="H14" s="53">
        <v>0.02</v>
      </c>
      <c r="I14" s="54">
        <f>CHOOSE(MATCH($B$3,{"Base","Bull","Bear"},0),F14,G14,H14)</f>
        <v>2.5000000000000001E-2</v>
      </c>
      <c r="J14" s="10"/>
      <c r="K14" s="20" t="s">
        <v>555</v>
      </c>
    </row>
    <row r="16" spans="1:11" ht="15" x14ac:dyDescent="0.35">
      <c r="A16" s="9" t="s">
        <v>556</v>
      </c>
      <c r="B16" s="10"/>
      <c r="C16" s="10"/>
      <c r="D16" s="10"/>
      <c r="E16" s="10"/>
      <c r="F16" s="10"/>
      <c r="G16" s="10"/>
      <c r="H16" s="10"/>
      <c r="I16" s="10"/>
      <c r="J16" s="10"/>
    </row>
    <row r="17" spans="1:11" x14ac:dyDescent="0.25">
      <c r="A17" s="7" t="s">
        <v>557</v>
      </c>
      <c r="B17" s="55">
        <f>I8+I10*I9</f>
        <v>0.1275</v>
      </c>
      <c r="F17" s="55">
        <f>F8+F10*F9</f>
        <v>0.1275</v>
      </c>
      <c r="G17" s="55">
        <f>G8+G10*G9</f>
        <v>0.11650000000000001</v>
      </c>
      <c r="H17" s="55">
        <f>H8+H10*H9</f>
        <v>0.14400000000000002</v>
      </c>
      <c r="I17" s="54">
        <f>CHOOSE(MATCH($B$3,{"Base","Bull","Bear"},0),F17,G17,H17)</f>
        <v>0.1275</v>
      </c>
      <c r="K17" s="20" t="s">
        <v>558</v>
      </c>
    </row>
    <row r="18" spans="1:11" x14ac:dyDescent="0.25">
      <c r="A18" s="7" t="s">
        <v>559</v>
      </c>
      <c r="I18" s="55">
        <f>I11*(1-I13)</f>
        <v>4.4000000000000004E-2</v>
      </c>
      <c r="K18" s="20" t="s">
        <v>560</v>
      </c>
    </row>
    <row r="19" spans="1:11" x14ac:dyDescent="0.25">
      <c r="A19" s="7" t="s">
        <v>561</v>
      </c>
      <c r="I19" s="84">
        <f>I17*(1-I12)+I18*I12</f>
        <v>0.106625</v>
      </c>
      <c r="K19" s="20" t="s">
        <v>562</v>
      </c>
    </row>
    <row r="21" spans="1:11" ht="15" x14ac:dyDescent="0.35">
      <c r="A21" s="9" t="s">
        <v>563</v>
      </c>
      <c r="B21" s="10"/>
      <c r="C21" s="10"/>
      <c r="D21" s="10"/>
      <c r="E21" s="10"/>
      <c r="F21" s="10"/>
      <c r="G21" s="10"/>
      <c r="H21" s="10"/>
      <c r="I21" s="10"/>
      <c r="J21" s="10"/>
    </row>
    <row r="22" spans="1:11" x14ac:dyDescent="0.25">
      <c r="A22" s="7" t="s">
        <v>564</v>
      </c>
    </row>
    <row r="23" spans="1:11" x14ac:dyDescent="0.25">
      <c r="A23" s="7" t="s">
        <v>565</v>
      </c>
    </row>
    <row r="25" spans="1:11" ht="15" x14ac:dyDescent="0.35">
      <c r="A25" s="9" t="s">
        <v>566</v>
      </c>
      <c r="B25" s="10"/>
      <c r="C25" s="10"/>
      <c r="D25" s="10"/>
      <c r="E25" s="10"/>
      <c r="F25" s="10"/>
      <c r="G25" s="10"/>
      <c r="H25" s="10"/>
      <c r="I25" s="10"/>
      <c r="J25" s="10"/>
    </row>
    <row r="26" spans="1:11" x14ac:dyDescent="0.25">
      <c r="A26" s="7" t="s">
        <v>567</v>
      </c>
      <c r="B26" s="17">
        <f>Consolidated_PL!B17</f>
        <v>298</v>
      </c>
      <c r="C26" s="17">
        <f>Consolidated_PL!C17</f>
        <v>-11517</v>
      </c>
      <c r="D26" s="17">
        <f>Consolidated_PL!D17</f>
        <v>-2833</v>
      </c>
      <c r="F26" s="17">
        <f>Consolidated_PL!F17</f>
        <v>2604.3100000000004</v>
      </c>
      <c r="G26" s="17">
        <f>Consolidated_PL!G17</f>
        <v>6851.3502500000013</v>
      </c>
      <c r="H26" s="17">
        <f>Consolidated_PL!H17</f>
        <v>10636.382000000001</v>
      </c>
      <c r="K26" s="20" t="s">
        <v>568</v>
      </c>
    </row>
    <row r="27" spans="1:11" x14ac:dyDescent="0.25">
      <c r="A27" s="7" t="s">
        <v>569</v>
      </c>
      <c r="B27" s="41">
        <v>0</v>
      </c>
      <c r="C27" s="41">
        <v>0</v>
      </c>
      <c r="D27" s="41">
        <v>0</v>
      </c>
      <c r="F27" s="42">
        <f>F26*Assumptions!V221</f>
        <v>312.51720000000006</v>
      </c>
      <c r="G27" s="42">
        <f>G26*Assumptions!AA221</f>
        <v>890.67553250000026</v>
      </c>
      <c r="H27" s="42">
        <f>H26*Assumptions!AF221</f>
        <v>1382.7296600000002</v>
      </c>
      <c r="K27" s="20" t="s">
        <v>570</v>
      </c>
    </row>
    <row r="28" spans="1:11" x14ac:dyDescent="0.25">
      <c r="A28" s="7" t="s">
        <v>571</v>
      </c>
      <c r="B28" s="42">
        <f>B26-B27</f>
        <v>298</v>
      </c>
      <c r="C28" s="42">
        <f>C26-C27</f>
        <v>-11517</v>
      </c>
      <c r="D28" s="42">
        <f>D26-D27</f>
        <v>-2833</v>
      </c>
      <c r="F28" s="42">
        <f>F26-F27</f>
        <v>2291.7928000000002</v>
      </c>
      <c r="G28" s="42">
        <f>G26-G27</f>
        <v>5960.674717500001</v>
      </c>
      <c r="H28" s="42">
        <f>H26-H27</f>
        <v>9253.6523400000005</v>
      </c>
      <c r="K28" s="20" t="s">
        <v>572</v>
      </c>
    </row>
    <row r="29" spans="1:11" x14ac:dyDescent="0.25">
      <c r="A29" s="7" t="s">
        <v>573</v>
      </c>
      <c r="B29" s="17">
        <f>Consolidated_PL!B32</f>
        <v>7847</v>
      </c>
      <c r="C29" s="17">
        <f>Consolidated_PL!C32</f>
        <v>9951</v>
      </c>
      <c r="D29" s="17">
        <f>Consolidated_PL!D32</f>
        <v>10757</v>
      </c>
      <c r="F29" s="17">
        <f>Consolidated_PL!F32</f>
        <v>12500</v>
      </c>
      <c r="G29" s="17">
        <f>Consolidated_PL!G32</f>
        <v>13200</v>
      </c>
      <c r="H29" s="17">
        <f>Consolidated_PL!H32</f>
        <v>13800</v>
      </c>
    </row>
    <row r="30" spans="1:11" x14ac:dyDescent="0.25">
      <c r="A30" s="7" t="s">
        <v>574</v>
      </c>
      <c r="B30" s="41">
        <v>0</v>
      </c>
      <c r="C30" s="41">
        <v>0</v>
      </c>
      <c r="D30" s="41">
        <v>0</v>
      </c>
      <c r="F30" s="42">
        <f>-Assumptions!V149</f>
        <v>-17700</v>
      </c>
      <c r="G30" s="42">
        <f>-Assumptions!AA149</f>
        <v>-19500</v>
      </c>
      <c r="H30" s="42">
        <f>-Assumptions!AF149</f>
        <v>-21000</v>
      </c>
      <c r="K30" s="20" t="s">
        <v>516</v>
      </c>
    </row>
    <row r="31" spans="1:11" ht="24" x14ac:dyDescent="0.25">
      <c r="A31" s="7" t="s">
        <v>575</v>
      </c>
      <c r="B31" s="41">
        <v>0</v>
      </c>
      <c r="C31" s="41">
        <v>0</v>
      </c>
      <c r="D31" s="41">
        <v>0</v>
      </c>
      <c r="F31" s="42">
        <f>-(Consolidated_PL!F5-Consolidated_PL!D5)*0.1</f>
        <v>-179.9</v>
      </c>
      <c r="G31" s="42">
        <f>-(Consolidated_PL!G5-Consolidated_PL!F5)*0.1</f>
        <v>-714.97500000000002</v>
      </c>
      <c r="H31" s="42">
        <f>-(Consolidated_PL!H5-Consolidated_PL!G5)*0.1</f>
        <v>-584.21499999999946</v>
      </c>
      <c r="K31" s="20" t="s">
        <v>576</v>
      </c>
    </row>
    <row r="32" spans="1:11" x14ac:dyDescent="0.25">
      <c r="A32" s="18" t="s">
        <v>577</v>
      </c>
      <c r="B32" s="13">
        <f>B28+B29+B30+B31</f>
        <v>8145</v>
      </c>
      <c r="C32" s="13">
        <f>C28+C29+C30+C31</f>
        <v>-1566</v>
      </c>
      <c r="D32" s="13">
        <f>D28+D29+D30+D31</f>
        <v>7924</v>
      </c>
      <c r="F32" s="13">
        <f>F28+F29+F30+F31</f>
        <v>-3088.1072000000008</v>
      </c>
      <c r="G32" s="13">
        <f>G28+G29+G30+G31</f>
        <v>-1054.300282499998</v>
      </c>
      <c r="H32" s="13">
        <f>H28+H29+H30+H31</f>
        <v>1469.4373400000011</v>
      </c>
      <c r="K32" s="20" t="s">
        <v>578</v>
      </c>
    </row>
    <row r="33" spans="1:11" x14ac:dyDescent="0.25">
      <c r="A33" s="7" t="s">
        <v>579</v>
      </c>
      <c r="F33" s="56">
        <f>1/(1+I19)^1</f>
        <v>0.9036484807409918</v>
      </c>
      <c r="G33" s="56">
        <f>1/(1+I19)^2</f>
        <v>0.81658057674550255</v>
      </c>
      <c r="H33" s="56">
        <f>1/(1+I19)^3</f>
        <v>0.73790179757867624</v>
      </c>
      <c r="K33" s="20" t="s">
        <v>580</v>
      </c>
    </row>
    <row r="34" spans="1:11" x14ac:dyDescent="0.25">
      <c r="A34" s="7" t="s">
        <v>581</v>
      </c>
      <c r="F34" s="42">
        <f>F32*F33</f>
        <v>-2790.5633796453189</v>
      </c>
      <c r="G34" s="42">
        <f>G32*G33</f>
        <v>-860.92113274679468</v>
      </c>
      <c r="H34" s="42">
        <f>H32*H33</f>
        <v>1084.3004546152292</v>
      </c>
      <c r="K34" s="20" t="s">
        <v>582</v>
      </c>
    </row>
    <row r="36" spans="1:11" ht="15" x14ac:dyDescent="0.35">
      <c r="A36" s="9" t="s">
        <v>583</v>
      </c>
      <c r="B36" s="10"/>
      <c r="C36" s="10"/>
      <c r="D36" s="10"/>
      <c r="E36" s="10"/>
      <c r="F36" s="10"/>
      <c r="G36" s="10"/>
      <c r="H36" s="10"/>
      <c r="I36" s="10"/>
      <c r="J36" s="10"/>
    </row>
    <row r="37" spans="1:11" x14ac:dyDescent="0.25">
      <c r="A37" s="7" t="s">
        <v>584</v>
      </c>
      <c r="H37" s="42">
        <f>H32</f>
        <v>1469.4373400000011</v>
      </c>
      <c r="K37" s="20" t="s">
        <v>585</v>
      </c>
    </row>
    <row r="38" spans="1:11" x14ac:dyDescent="0.25">
      <c r="A38" s="7" t="s">
        <v>554</v>
      </c>
      <c r="H38" s="57">
        <f>I14</f>
        <v>2.5000000000000001E-2</v>
      </c>
      <c r="K38" s="20" t="s">
        <v>586</v>
      </c>
    </row>
    <row r="39" spans="1:11" x14ac:dyDescent="0.25">
      <c r="A39" s="7" t="s">
        <v>587</v>
      </c>
      <c r="H39" s="42">
        <f>H32*(1+H38)/(I19-H38)</f>
        <v>18452.352508422675</v>
      </c>
      <c r="K39" s="20" t="s">
        <v>588</v>
      </c>
    </row>
    <row r="40" spans="1:11" x14ac:dyDescent="0.25">
      <c r="A40" s="7" t="s">
        <v>589</v>
      </c>
      <c r="H40" s="42">
        <f>H39*H33</f>
        <v>13616.024085520488</v>
      </c>
      <c r="K40" s="20" t="s">
        <v>590</v>
      </c>
    </row>
    <row r="42" spans="1:11" ht="15" x14ac:dyDescent="0.35">
      <c r="A42" s="9" t="s">
        <v>591</v>
      </c>
      <c r="B42" s="10"/>
      <c r="C42" s="10"/>
      <c r="D42" s="10"/>
      <c r="E42" s="10"/>
      <c r="F42" s="10"/>
      <c r="G42" s="10"/>
      <c r="H42" s="10"/>
      <c r="I42" s="10"/>
      <c r="J42" s="10"/>
    </row>
    <row r="43" spans="1:11" x14ac:dyDescent="0.25">
      <c r="A43" s="7" t="s">
        <v>592</v>
      </c>
      <c r="H43" s="42">
        <f>F34+G34+H34</f>
        <v>-2567.1840577768844</v>
      </c>
      <c r="K43" s="20" t="s">
        <v>593</v>
      </c>
    </row>
    <row r="44" spans="1:11" x14ac:dyDescent="0.25">
      <c r="A44" s="7" t="s">
        <v>594</v>
      </c>
      <c r="H44" s="42">
        <f>H40</f>
        <v>13616.024085520488</v>
      </c>
    </row>
    <row r="45" spans="1:11" x14ac:dyDescent="0.25">
      <c r="A45" s="18" t="s">
        <v>595</v>
      </c>
      <c r="H45" s="13">
        <f>H43+H44</f>
        <v>11048.840027743605</v>
      </c>
      <c r="K45" s="20" t="s">
        <v>596</v>
      </c>
    </row>
    <row r="46" spans="1:11" x14ac:dyDescent="0.25">
      <c r="A46" s="7" t="s">
        <v>597</v>
      </c>
      <c r="H46" s="14">
        <f>H39/H45</f>
        <v>1.6700714701352244</v>
      </c>
    </row>
    <row r="48" spans="1:11" ht="15" x14ac:dyDescent="0.35">
      <c r="A48" s="9" t="s">
        <v>598</v>
      </c>
      <c r="B48" s="10"/>
      <c r="C48" s="10"/>
      <c r="D48" s="10"/>
      <c r="E48" s="10"/>
      <c r="F48" s="10"/>
      <c r="G48" s="10"/>
      <c r="H48" s="10"/>
      <c r="I48" s="10"/>
      <c r="J48" s="10"/>
    </row>
    <row r="49" spans="1:11" x14ac:dyDescent="0.25">
      <c r="A49" s="7" t="s">
        <v>599</v>
      </c>
      <c r="H49" s="42">
        <f>H45</f>
        <v>11048.840027743605</v>
      </c>
    </row>
    <row r="50" spans="1:11" x14ac:dyDescent="0.25">
      <c r="A50" s="7" t="s">
        <v>600</v>
      </c>
      <c r="H50" s="17">
        <f>BS!H7</f>
        <v>25995.590754760276</v>
      </c>
      <c r="K50" s="20" t="s">
        <v>601</v>
      </c>
    </row>
    <row r="51" spans="1:11" x14ac:dyDescent="0.25">
      <c r="A51" s="7" t="s">
        <v>602</v>
      </c>
      <c r="H51" s="17">
        <f>BS!H8</f>
        <v>24000</v>
      </c>
      <c r="K51" s="20" t="s">
        <v>603</v>
      </c>
    </row>
    <row r="52" spans="1:11" x14ac:dyDescent="0.25">
      <c r="A52" s="7" t="s">
        <v>604</v>
      </c>
      <c r="H52" s="17">
        <f>BS!H34+BS!H28</f>
        <v>46000</v>
      </c>
      <c r="K52" s="20" t="s">
        <v>605</v>
      </c>
    </row>
    <row r="53" spans="1:11" x14ac:dyDescent="0.25">
      <c r="A53" s="7" t="s">
        <v>606</v>
      </c>
      <c r="H53" s="17">
        <f>BS!H41</f>
        <v>14129</v>
      </c>
      <c r="K53" s="20" t="s">
        <v>607</v>
      </c>
    </row>
    <row r="54" spans="1:11" x14ac:dyDescent="0.25">
      <c r="A54" s="18" t="s">
        <v>608</v>
      </c>
      <c r="H54" s="13">
        <f>H49+H50+H51-H52-H53</f>
        <v>915.43078250388498</v>
      </c>
      <c r="K54" s="20" t="s">
        <v>609</v>
      </c>
    </row>
    <row r="55" spans="1:11" x14ac:dyDescent="0.25">
      <c r="A55" s="7" t="s">
        <v>421</v>
      </c>
      <c r="H55" s="17">
        <f>Consolidated_PL!H34</f>
        <v>5250</v>
      </c>
      <c r="K55" s="20" t="s">
        <v>610</v>
      </c>
    </row>
    <row r="56" spans="1:11" x14ac:dyDescent="0.25">
      <c r="A56" s="18" t="s">
        <v>611</v>
      </c>
      <c r="H56" s="58">
        <f>H54/H55</f>
        <v>0.17436776809597809</v>
      </c>
      <c r="K56" s="20" t="s">
        <v>612</v>
      </c>
    </row>
    <row r="58" spans="1:11" ht="15" x14ac:dyDescent="0.35">
      <c r="A58" s="9" t="s">
        <v>613</v>
      </c>
      <c r="B58" s="10"/>
      <c r="C58" s="10"/>
      <c r="D58" s="10"/>
      <c r="E58" s="10"/>
      <c r="F58" s="10"/>
      <c r="G58" s="10"/>
      <c r="H58" s="10"/>
      <c r="I58" s="10"/>
      <c r="J58" s="10"/>
    </row>
    <row r="59" spans="1:11" x14ac:dyDescent="0.25">
      <c r="A59" s="7" t="s">
        <v>614</v>
      </c>
      <c r="H59" s="59">
        <f>I19</f>
        <v>0.106625</v>
      </c>
    </row>
    <row r="60" spans="1:11" x14ac:dyDescent="0.25">
      <c r="A60" s="7" t="s">
        <v>615</v>
      </c>
      <c r="H60" s="59">
        <f>I14</f>
        <v>2.5000000000000001E-2</v>
      </c>
    </row>
    <row r="61" spans="1:11" x14ac:dyDescent="0.25">
      <c r="A61" s="7" t="s">
        <v>616</v>
      </c>
      <c r="H61" s="13">
        <f>H43</f>
        <v>-2567.1840577768844</v>
      </c>
    </row>
    <row r="62" spans="1:11" x14ac:dyDescent="0.25">
      <c r="A62" s="7" t="s">
        <v>617</v>
      </c>
      <c r="H62" s="13">
        <f>H44</f>
        <v>13616.024085520488</v>
      </c>
    </row>
    <row r="63" spans="1:11" x14ac:dyDescent="0.25">
      <c r="A63" s="7" t="s">
        <v>618</v>
      </c>
      <c r="H63" s="15">
        <f>H44/H45</f>
        <v>1.2323487398976447</v>
      </c>
    </row>
    <row r="64" spans="1:11" x14ac:dyDescent="0.25">
      <c r="A64" s="7" t="s">
        <v>619</v>
      </c>
      <c r="H64" s="13">
        <f>H45</f>
        <v>11048.840027743605</v>
      </c>
    </row>
    <row r="65" spans="1:8" x14ac:dyDescent="0.25">
      <c r="A65" s="7" t="s">
        <v>620</v>
      </c>
      <c r="H65" s="13">
        <f>H50+H51</f>
        <v>49995.590754760276</v>
      </c>
    </row>
    <row r="66" spans="1:8" x14ac:dyDescent="0.25">
      <c r="A66" s="7" t="s">
        <v>621</v>
      </c>
      <c r="H66" s="13">
        <f>H52</f>
        <v>46000</v>
      </c>
    </row>
    <row r="67" spans="1:8" x14ac:dyDescent="0.25">
      <c r="A67" s="7" t="s">
        <v>622</v>
      </c>
      <c r="H67" s="13">
        <f>H53</f>
        <v>14129</v>
      </c>
    </row>
    <row r="68" spans="1:8" x14ac:dyDescent="0.25">
      <c r="A68" s="7" t="s">
        <v>623</v>
      </c>
      <c r="H68" s="13">
        <f>H54</f>
        <v>915.43078250388498</v>
      </c>
    </row>
    <row r="69" spans="1:8" x14ac:dyDescent="0.25">
      <c r="A69" s="7" t="s">
        <v>624</v>
      </c>
      <c r="H69" s="58">
        <f>H56</f>
        <v>0.17436776809597809</v>
      </c>
    </row>
    <row r="71" spans="1:8" x14ac:dyDescent="0.25">
      <c r="A71" s="7" t="s">
        <v>101</v>
      </c>
    </row>
    <row r="72" spans="1:8" ht="14.5" x14ac:dyDescent="0.3">
      <c r="A72" s="76" t="s">
        <v>102</v>
      </c>
      <c r="B72" s="69"/>
      <c r="C72" s="69"/>
      <c r="D72" s="69"/>
      <c r="E72" s="69"/>
      <c r="F72" s="69"/>
    </row>
    <row r="73" spans="1:8" ht="14.5" x14ac:dyDescent="0.3">
      <c r="A73" s="80" t="s">
        <v>103</v>
      </c>
      <c r="B73" s="69"/>
      <c r="C73" s="69"/>
      <c r="D73" s="69"/>
      <c r="E73" s="69"/>
      <c r="F73" s="69"/>
    </row>
    <row r="74" spans="1:8" ht="14.5" x14ac:dyDescent="0.3">
      <c r="A74" s="79" t="s">
        <v>104</v>
      </c>
      <c r="B74" s="69"/>
      <c r="C74" s="69"/>
      <c r="D74" s="69"/>
      <c r="E74" s="69"/>
      <c r="F74" s="69"/>
    </row>
    <row r="75" spans="1:8" ht="14.5" x14ac:dyDescent="0.3">
      <c r="A75" s="77" t="s">
        <v>105</v>
      </c>
      <c r="B75" s="69"/>
      <c r="C75" s="69"/>
      <c r="D75" s="69"/>
      <c r="E75" s="69"/>
      <c r="F75" s="69"/>
    </row>
    <row r="76" spans="1:8" ht="14.5" x14ac:dyDescent="0.3">
      <c r="A76" s="77" t="s">
        <v>106</v>
      </c>
      <c r="B76" s="69"/>
      <c r="C76" s="69"/>
      <c r="D76" s="69"/>
      <c r="E76" s="69"/>
      <c r="F76" s="69"/>
    </row>
    <row r="77" spans="1:8" x14ac:dyDescent="0.25">
      <c r="A77" s="69" t="s">
        <v>107</v>
      </c>
      <c r="B77" s="69"/>
      <c r="C77" s="69"/>
      <c r="D77" s="69"/>
      <c r="E77" s="69"/>
      <c r="F77" s="69"/>
    </row>
    <row r="79" spans="1:8" x14ac:dyDescent="0.25">
      <c r="A79" s="7" t="s">
        <v>108</v>
      </c>
    </row>
    <row r="80" spans="1:8" ht="14.5" x14ac:dyDescent="0.3">
      <c r="A80" s="74" t="s">
        <v>109</v>
      </c>
      <c r="B80" s="69"/>
      <c r="C80" s="69"/>
      <c r="D80" s="69"/>
      <c r="E80" s="69"/>
      <c r="F80" s="69"/>
    </row>
    <row r="81" spans="1:6" ht="14.5" x14ac:dyDescent="0.3">
      <c r="A81" s="74" t="s">
        <v>110</v>
      </c>
      <c r="B81" s="69"/>
      <c r="C81" s="69"/>
      <c r="D81" s="69"/>
      <c r="E81" s="69"/>
      <c r="F81" s="69"/>
    </row>
    <row r="82" spans="1:6" ht="14.5" x14ac:dyDescent="0.3">
      <c r="A82" s="74" t="s">
        <v>111</v>
      </c>
      <c r="B82" s="69"/>
      <c r="C82" s="69"/>
      <c r="D82" s="69"/>
      <c r="E82" s="69"/>
      <c r="F82" s="69"/>
    </row>
    <row r="83" spans="1:6" ht="14.5" x14ac:dyDescent="0.3">
      <c r="A83" s="74" t="s">
        <v>112</v>
      </c>
      <c r="B83" s="69"/>
      <c r="C83" s="69"/>
      <c r="D83" s="69"/>
      <c r="E83" s="69"/>
      <c r="F83" s="69"/>
    </row>
    <row r="84" spans="1:6" ht="14.5" x14ac:dyDescent="0.3">
      <c r="A84" s="74" t="s">
        <v>113</v>
      </c>
      <c r="B84" s="69"/>
      <c r="C84" s="69"/>
      <c r="D84" s="69"/>
      <c r="E84" s="69"/>
      <c r="F84" s="69"/>
    </row>
  </sheetData>
  <mergeCells count="13">
    <mergeCell ref="A1:J1"/>
    <mergeCell ref="A83:F83"/>
    <mergeCell ref="A77:F77"/>
    <mergeCell ref="A81:F81"/>
    <mergeCell ref="A76:F76"/>
    <mergeCell ref="A80:F80"/>
    <mergeCell ref="A75:F75"/>
    <mergeCell ref="A84:F84"/>
    <mergeCell ref="A2:J2"/>
    <mergeCell ref="A73:F73"/>
    <mergeCell ref="A82:F82"/>
    <mergeCell ref="A74:F74"/>
    <mergeCell ref="A72:F72"/>
  </mergeCells>
  <phoneticPr fontId="26" type="noConversion"/>
  <pageMargins left="0.75" right="0.75" top="1" bottom="1" header="0.5" footer="0.5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K20"/>
  <sheetViews>
    <sheetView workbookViewId="0"/>
  </sheetViews>
  <sheetFormatPr defaultRowHeight="14" x14ac:dyDescent="0.25"/>
  <cols>
    <col min="1" max="1" width="44" customWidth="1"/>
    <col min="2" max="4" width="14" customWidth="1"/>
    <col min="5" max="5" width="2" customWidth="1"/>
    <col min="6" max="9" width="14" customWidth="1"/>
    <col min="10" max="10" width="2" customWidth="1"/>
    <col min="11" max="11" width="55" customWidth="1"/>
  </cols>
  <sheetData>
    <row r="1" spans="1:11" ht="18.5" x14ac:dyDescent="0.45">
      <c r="A1" s="78" t="s">
        <v>625</v>
      </c>
      <c r="B1" s="69"/>
      <c r="C1" s="69"/>
      <c r="D1" s="69"/>
      <c r="E1" s="69"/>
      <c r="F1" s="69"/>
      <c r="G1" s="69"/>
      <c r="H1" s="69"/>
      <c r="I1" s="69"/>
      <c r="J1" s="69"/>
    </row>
    <row r="2" spans="1:11" ht="14.5" x14ac:dyDescent="0.3">
      <c r="A2" s="75" t="s">
        <v>626</v>
      </c>
      <c r="B2" s="69"/>
      <c r="C2" s="69"/>
      <c r="D2" s="69"/>
      <c r="E2" s="69"/>
      <c r="F2" s="69"/>
      <c r="G2" s="69"/>
      <c r="H2" s="69"/>
      <c r="I2" s="69"/>
      <c r="J2" s="69"/>
    </row>
    <row r="4" spans="1:11" x14ac:dyDescent="0.25">
      <c r="A4" s="81" t="s">
        <v>627</v>
      </c>
      <c r="B4" s="82"/>
      <c r="C4" s="82"/>
      <c r="D4" s="82"/>
      <c r="E4" s="82"/>
      <c r="F4" s="82"/>
      <c r="G4" s="82"/>
      <c r="H4" s="83"/>
    </row>
    <row r="6" spans="1:11" x14ac:dyDescent="0.25">
      <c r="A6" s="7" t="s">
        <v>628</v>
      </c>
      <c r="B6" s="60">
        <v>8</v>
      </c>
      <c r="C6" s="60">
        <v>9</v>
      </c>
      <c r="D6" s="60">
        <v>10</v>
      </c>
      <c r="E6" s="60">
        <v>10.7</v>
      </c>
      <c r="F6" s="60">
        <v>11</v>
      </c>
      <c r="G6" s="60">
        <v>12</v>
      </c>
      <c r="H6" s="60">
        <v>13</v>
      </c>
    </row>
    <row r="7" spans="1:11" ht="36" x14ac:dyDescent="0.25">
      <c r="A7" s="18" t="s">
        <v>629</v>
      </c>
      <c r="B7" s="61"/>
      <c r="C7" s="61"/>
      <c r="D7" s="61"/>
      <c r="E7" s="61"/>
      <c r="F7" s="61"/>
      <c r="G7" s="61"/>
      <c r="H7" s="61"/>
      <c r="K7" s="20" t="s">
        <v>630</v>
      </c>
    </row>
    <row r="8" spans="1:11" x14ac:dyDescent="0.25">
      <c r="A8" s="18" t="s">
        <v>631</v>
      </c>
      <c r="B8" s="61"/>
      <c r="C8" s="61"/>
      <c r="D8" s="61"/>
      <c r="E8" s="61"/>
      <c r="F8" s="61"/>
      <c r="G8" s="61"/>
      <c r="H8" s="61"/>
    </row>
    <row r="9" spans="1:11" x14ac:dyDescent="0.25">
      <c r="A9" s="18" t="s">
        <v>632</v>
      </c>
      <c r="B9" s="61"/>
      <c r="C9" s="61"/>
      <c r="D9" s="61"/>
      <c r="E9" s="61"/>
      <c r="F9" s="61"/>
      <c r="G9" s="61"/>
      <c r="H9" s="61"/>
    </row>
    <row r="10" spans="1:11" x14ac:dyDescent="0.25">
      <c r="A10" s="18" t="s">
        <v>633</v>
      </c>
      <c r="B10" s="61"/>
      <c r="C10" s="61"/>
      <c r="D10" s="61"/>
      <c r="E10" s="61"/>
      <c r="F10" s="61"/>
      <c r="G10" s="61"/>
      <c r="H10" s="61"/>
    </row>
    <row r="11" spans="1:11" x14ac:dyDescent="0.25">
      <c r="A11" s="18" t="s">
        <v>634</v>
      </c>
      <c r="B11" s="61"/>
      <c r="C11" s="61"/>
      <c r="D11" s="61"/>
      <c r="E11" s="61"/>
      <c r="F11" s="61"/>
      <c r="G11" s="61"/>
      <c r="H11" s="61"/>
    </row>
    <row r="13" spans="1:11" ht="15" x14ac:dyDescent="0.35">
      <c r="A13" s="9" t="s">
        <v>635</v>
      </c>
      <c r="B13" s="10"/>
      <c r="C13" s="10"/>
      <c r="D13" s="10"/>
      <c r="E13" s="10"/>
      <c r="F13" s="10"/>
      <c r="G13" s="10"/>
      <c r="H13" s="10"/>
      <c r="I13" s="10"/>
      <c r="J13" s="10"/>
    </row>
    <row r="14" spans="1:11" ht="14.5" x14ac:dyDescent="0.3">
      <c r="A14" s="74" t="s">
        <v>636</v>
      </c>
      <c r="B14" s="69"/>
      <c r="C14" s="69"/>
      <c r="D14" s="69"/>
      <c r="E14" s="69"/>
      <c r="F14" s="69"/>
      <c r="G14" s="69"/>
      <c r="H14" s="69"/>
    </row>
    <row r="15" spans="1:11" ht="14.5" x14ac:dyDescent="0.3">
      <c r="A15" s="74" t="s">
        <v>637</v>
      </c>
      <c r="B15" s="69"/>
      <c r="C15" s="69"/>
      <c r="D15" s="69"/>
      <c r="E15" s="69"/>
      <c r="F15" s="69"/>
      <c r="G15" s="69"/>
      <c r="H15" s="69"/>
    </row>
    <row r="16" spans="1:11" ht="14.5" x14ac:dyDescent="0.3">
      <c r="A16" s="74" t="s">
        <v>638</v>
      </c>
      <c r="B16" s="69"/>
      <c r="C16" s="69"/>
      <c r="D16" s="69"/>
      <c r="E16" s="69"/>
      <c r="F16" s="69"/>
      <c r="G16" s="69"/>
      <c r="H16" s="69"/>
    </row>
    <row r="17" spans="1:8" ht="14.5" x14ac:dyDescent="0.3">
      <c r="A17" s="74" t="s">
        <v>639</v>
      </c>
      <c r="B17" s="69"/>
      <c r="C17" s="69"/>
      <c r="D17" s="69"/>
      <c r="E17" s="69"/>
      <c r="F17" s="69"/>
      <c r="G17" s="69"/>
      <c r="H17" s="69"/>
    </row>
    <row r="18" spans="1:8" ht="14.5" x14ac:dyDescent="0.3">
      <c r="A18" s="74" t="s">
        <v>640</v>
      </c>
      <c r="B18" s="69"/>
      <c r="C18" s="69"/>
      <c r="D18" s="69"/>
      <c r="E18" s="69"/>
      <c r="F18" s="69"/>
      <c r="G18" s="69"/>
      <c r="H18" s="69"/>
    </row>
    <row r="19" spans="1:8" ht="14.5" x14ac:dyDescent="0.3">
      <c r="A19" s="74" t="s">
        <v>641</v>
      </c>
      <c r="B19" s="69"/>
      <c r="C19" s="69"/>
      <c r="D19" s="69"/>
      <c r="E19" s="69"/>
      <c r="F19" s="69"/>
      <c r="G19" s="69"/>
      <c r="H19" s="69"/>
    </row>
    <row r="20" spans="1:8" ht="14.5" x14ac:dyDescent="0.3">
      <c r="A20" s="74" t="s">
        <v>642</v>
      </c>
      <c r="B20" s="69"/>
      <c r="C20" s="69"/>
      <c r="D20" s="69"/>
      <c r="E20" s="69"/>
      <c r="F20" s="69"/>
      <c r="G20" s="69"/>
      <c r="H20" s="69"/>
    </row>
  </sheetData>
  <mergeCells count="10">
    <mergeCell ref="A18:H18"/>
    <mergeCell ref="A4:H4"/>
    <mergeCell ref="A1:J1"/>
    <mergeCell ref="A15:H15"/>
    <mergeCell ref="A20:H20"/>
    <mergeCell ref="A16:H16"/>
    <mergeCell ref="A19:H19"/>
    <mergeCell ref="A14:H14"/>
    <mergeCell ref="A2:J2"/>
    <mergeCell ref="A17:H17"/>
  </mergeCells>
  <phoneticPr fontId="26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K73"/>
  <sheetViews>
    <sheetView workbookViewId="0"/>
  </sheetViews>
  <sheetFormatPr defaultRowHeight="14" x14ac:dyDescent="0.25"/>
  <cols>
    <col min="1" max="1" width="44" customWidth="1"/>
    <col min="2" max="4" width="14" customWidth="1"/>
    <col min="5" max="5" width="2" customWidth="1"/>
    <col min="6" max="9" width="14" customWidth="1"/>
    <col min="10" max="10" width="2" customWidth="1"/>
    <col min="11" max="11" width="55" customWidth="1"/>
  </cols>
  <sheetData>
    <row r="1" spans="1:11" ht="18.5" x14ac:dyDescent="0.45">
      <c r="A1" s="78" t="s">
        <v>643</v>
      </c>
      <c r="B1" s="69"/>
      <c r="C1" s="69"/>
      <c r="D1" s="69"/>
      <c r="E1" s="69"/>
      <c r="F1" s="69"/>
      <c r="G1" s="69"/>
      <c r="H1" s="69"/>
      <c r="I1" s="69"/>
      <c r="J1" s="69"/>
    </row>
    <row r="2" spans="1:11" ht="14.5" x14ac:dyDescent="0.3">
      <c r="A2" s="75" t="s">
        <v>43</v>
      </c>
      <c r="B2" s="69"/>
      <c r="C2" s="69"/>
      <c r="D2" s="69"/>
      <c r="E2" s="69"/>
      <c r="F2" s="69"/>
      <c r="G2" s="69"/>
      <c r="H2" s="69"/>
      <c r="I2" s="69"/>
      <c r="J2" s="69"/>
    </row>
    <row r="3" spans="1:11" x14ac:dyDescent="0.25">
      <c r="A3" s="11"/>
      <c r="B3" s="12" t="s">
        <v>46</v>
      </c>
      <c r="C3" s="12" t="s">
        <v>47</v>
      </c>
      <c r="D3" s="12" t="s">
        <v>48</v>
      </c>
      <c r="E3" s="11"/>
      <c r="F3" s="12" t="s">
        <v>49</v>
      </c>
      <c r="G3" s="12" t="s">
        <v>50</v>
      </c>
      <c r="H3" s="12" t="s">
        <v>51</v>
      </c>
      <c r="I3" s="11"/>
      <c r="J3" s="11"/>
      <c r="K3" s="12" t="s">
        <v>52</v>
      </c>
    </row>
    <row r="4" spans="1:11" x14ac:dyDescent="0.25">
      <c r="A4" s="7" t="s">
        <v>644</v>
      </c>
      <c r="K4" s="20" t="s">
        <v>645</v>
      </c>
    </row>
    <row r="5" spans="1:11" ht="15" x14ac:dyDescent="0.35">
      <c r="A5" s="9" t="s">
        <v>646</v>
      </c>
      <c r="B5" s="10"/>
      <c r="C5" s="10"/>
      <c r="D5" s="10"/>
      <c r="E5" s="10"/>
      <c r="F5" s="10"/>
      <c r="G5" s="10"/>
      <c r="H5" s="10"/>
      <c r="I5" s="10"/>
      <c r="J5" s="10"/>
    </row>
    <row r="6" spans="1:11" x14ac:dyDescent="0.25">
      <c r="A6" s="7" t="s">
        <v>384</v>
      </c>
      <c r="B6" s="62">
        <f>Consolidated_PL!B8</f>
        <v>0.40036512502766097</v>
      </c>
      <c r="C6" s="62">
        <f>Consolidated_PL!C8</f>
        <v>0.32664168283083184</v>
      </c>
      <c r="D6" s="62">
        <f>Consolidated_PL!D8</f>
        <v>0.34766238434904356</v>
      </c>
      <c r="F6" s="62">
        <f>Consolidated_PL!F8</f>
        <v>0.38500000000000006</v>
      </c>
      <c r="G6" s="62">
        <f>Consolidated_PL!G8</f>
        <v>0.41</v>
      </c>
      <c r="H6" s="62">
        <f>Consolidated_PL!H8</f>
        <v>0.43500000000000005</v>
      </c>
    </row>
    <row r="7" spans="1:11" x14ac:dyDescent="0.25">
      <c r="A7" s="7" t="s">
        <v>397</v>
      </c>
      <c r="B7" s="32">
        <f>Consolidated_PL!B17/Consolidated_PL!B5</f>
        <v>5.4953160728774802E-3</v>
      </c>
      <c r="C7" s="32">
        <f>Consolidated_PL!C17/Consolidated_PL!C5</f>
        <v>-0.2168885708367074</v>
      </c>
      <c r="D7" s="32">
        <f>Consolidated_PL!D17/Consolidated_PL!D5</f>
        <v>-5.360149849582805E-2</v>
      </c>
      <c r="F7" s="32">
        <f>Consolidated_PL!F17/Consolidated_PL!F5</f>
        <v>4.7652601917587654E-2</v>
      </c>
      <c r="G7" s="32">
        <f>Consolidated_PL!G17/Consolidated_PL!G5</f>
        <v>0.11086013341046171</v>
      </c>
      <c r="H7" s="32">
        <f>Consolidated_PL!H17/Consolidated_PL!H5</f>
        <v>0.15724081550590671</v>
      </c>
    </row>
    <row r="8" spans="1:11" x14ac:dyDescent="0.25">
      <c r="A8" s="7" t="s">
        <v>411</v>
      </c>
      <c r="B8" s="32">
        <f>Consolidated_PL!B26/Consolidated_PL!B5</f>
        <v>3.466843696983108E-2</v>
      </c>
      <c r="C8" s="32">
        <f>Consolidated_PL!C26/Consolidated_PL!C5</f>
        <v>-0.35916461083595413</v>
      </c>
      <c r="D8" s="32">
        <f>Consolidated_PL!D26/Consolidated_PL!D5</f>
        <v>-1.1219798308516073E-2</v>
      </c>
      <c r="F8" s="32">
        <f>Consolidated_PL!F26/Consolidated_PL!F5</f>
        <v>2.9052784893508023E-2</v>
      </c>
      <c r="G8" s="32">
        <f>Consolidated_PL!G26/Consolidated_PL!G5</f>
        <v>8.800195330229324E-2</v>
      </c>
      <c r="H8" s="32">
        <f>Consolidated_PL!H26/Consolidated_PL!H5</f>
        <v>0.13165492143415741</v>
      </c>
    </row>
    <row r="9" spans="1:11" x14ac:dyDescent="0.25">
      <c r="A9" s="7" t="s">
        <v>647</v>
      </c>
      <c r="B9" s="32">
        <f>Consolidated_PL!B29/BS!B40</f>
        <v>1.7937304669002747E-2</v>
      </c>
      <c r="C9" s="32">
        <f>Consolidated_PL!C29/BS!C40</f>
        <v>-0.18731741714515968</v>
      </c>
      <c r="D9" s="32">
        <f>Consolidated_PL!D29/BS!D40</f>
        <v>-7.7528198038169073E-3</v>
      </c>
      <c r="F9" s="32">
        <f>Consolidated_PL!F29/BS!F40</f>
        <v>7.1048285019417231E-3</v>
      </c>
      <c r="G9" s="32">
        <f>Consolidated_PL!G29/BS!G40</f>
        <v>3.4693447769465389E-2</v>
      </c>
      <c r="H9" s="32">
        <f>Consolidated_PL!H29/BS!H40</f>
        <v>5.753702515612958E-2</v>
      </c>
    </row>
    <row r="10" spans="1:11" x14ac:dyDescent="0.25">
      <c r="A10" s="7" t="s">
        <v>648</v>
      </c>
      <c r="B10" s="32">
        <f>Consolidated_PL!B26/BS!B21</f>
        <v>9.8135426889106973E-3</v>
      </c>
      <c r="C10" s="32">
        <f>Consolidated_PL!C26/BS!C21</f>
        <v>-9.706593378629412E-2</v>
      </c>
      <c r="D10" s="32">
        <f>Consolidated_PL!D26/BS!D21</f>
        <v>-2.8047240444782884E-3</v>
      </c>
      <c r="F10" s="32">
        <f>Consolidated_PL!F26/BS!F21</f>
        <v>7.3090025175883535E-3</v>
      </c>
      <c r="G10" s="32">
        <f>Consolidated_PL!G26/BS!G21</f>
        <v>2.4055466186719509E-2</v>
      </c>
      <c r="H10" s="32">
        <f>Consolidated_PL!H26/BS!H21</f>
        <v>3.7299294571271131E-2</v>
      </c>
    </row>
    <row r="11" spans="1:11" x14ac:dyDescent="0.25">
      <c r="A11" s="7" t="s">
        <v>63</v>
      </c>
      <c r="B11" s="42">
        <f>Consolidated_PL!B17+Consolidated_PL!B32</f>
        <v>8145</v>
      </c>
      <c r="C11" s="42">
        <f>Consolidated_PL!C17+Consolidated_PL!C32</f>
        <v>-1566</v>
      </c>
      <c r="D11" s="42">
        <f>Consolidated_PL!D17+Consolidated_PL!D32</f>
        <v>7924</v>
      </c>
      <c r="F11" s="42">
        <f>Consolidated_PL!F17+Consolidated_PL!F32</f>
        <v>15104.310000000001</v>
      </c>
      <c r="G11" s="42">
        <f>Consolidated_PL!G17+Consolidated_PL!G32</f>
        <v>20051.350250000003</v>
      </c>
      <c r="H11" s="42">
        <f>Consolidated_PL!H17+Consolidated_PL!H32</f>
        <v>24436.382000000001</v>
      </c>
    </row>
    <row r="12" spans="1:11" x14ac:dyDescent="0.25">
      <c r="A12" s="7" t="s">
        <v>649</v>
      </c>
      <c r="B12" s="32">
        <f>(Consolidated_PL!B17+Consolidated_PL!B32)/Consolidated_PL!B5</f>
        <v>0.1501991591059969</v>
      </c>
      <c r="C12" s="32">
        <f>(Consolidated_PL!C17+Consolidated_PL!C32)/Consolidated_PL!C5</f>
        <v>-2.9490970038229036E-2</v>
      </c>
      <c r="D12" s="32">
        <f>(Consolidated_PL!D17+Consolidated_PL!D32)/Consolidated_PL!D5</f>
        <v>0.14992526441261611</v>
      </c>
      <c r="F12" s="32">
        <f>(Consolidated_PL!F17+Consolidated_PL!F32)/Consolidated_PL!F5</f>
        <v>0.27637250237868699</v>
      </c>
      <c r="G12" s="32">
        <f>(Consolidated_PL!G17+Consolidated_PL!G32)/Consolidated_PL!G5</f>
        <v>0.32444631826768666</v>
      </c>
      <c r="H12" s="32">
        <f>(Consolidated_PL!H17+Consolidated_PL!H32)/Consolidated_PL!H5</f>
        <v>0.36125034186378968</v>
      </c>
    </row>
    <row r="14" spans="1:11" ht="15" x14ac:dyDescent="0.35">
      <c r="A14" s="9" t="s">
        <v>650</v>
      </c>
      <c r="B14" s="10"/>
      <c r="C14" s="10"/>
      <c r="D14" s="10"/>
      <c r="E14" s="10"/>
      <c r="F14" s="10"/>
      <c r="G14" s="10"/>
      <c r="H14" s="10"/>
      <c r="I14" s="10"/>
      <c r="J14" s="10"/>
    </row>
    <row r="15" spans="1:11" x14ac:dyDescent="0.25">
      <c r="A15" s="7" t="s">
        <v>651</v>
      </c>
      <c r="B15" s="26">
        <f>BS!B9/(Consolidated_PL!B5/365)</f>
        <v>22.898318211993804</v>
      </c>
      <c r="C15" s="26">
        <f>BS!C9/(Consolidated_PL!C5/365)</f>
        <v>23.906706088397581</v>
      </c>
      <c r="D15" s="26">
        <f>BS!D9/(Consolidated_PL!D5/365)</f>
        <v>26.511929313378616</v>
      </c>
      <c r="F15" s="26">
        <f>BS!F9/(Consolidated_PL!F5/365)</f>
        <v>24.999999999999996</v>
      </c>
      <c r="G15" s="26">
        <f>BS!G9/(Consolidated_PL!G5/365)</f>
        <v>25</v>
      </c>
      <c r="H15" s="26">
        <f>BS!H9/(Consolidated_PL!H5/365)</f>
        <v>25.000000000000004</v>
      </c>
    </row>
    <row r="16" spans="1:11" x14ac:dyDescent="0.25">
      <c r="A16" s="7" t="s">
        <v>652</v>
      </c>
      <c r="B16" s="26">
        <f>BS!B26/(Consolidated_PL!B6/365)</f>
        <v>96.287172863425283</v>
      </c>
      <c r="C16" s="26">
        <f>BS!C26/(Consolidated_PL!C6/365)</f>
        <v>128.17261438639667</v>
      </c>
      <c r="D16" s="26">
        <f>BS!D26/(Consolidated_PL!D6/365)</f>
        <v>104.61540692615581</v>
      </c>
      <c r="F16" s="26">
        <f>BS!F26/(Consolidated_PL!F6/365)</f>
        <v>100</v>
      </c>
      <c r="G16" s="26">
        <f>BS!G26/(Consolidated_PL!G6/365)</f>
        <v>100</v>
      </c>
      <c r="H16" s="26">
        <f>BS!H26/(Consolidated_PL!H6/365)</f>
        <v>100</v>
      </c>
    </row>
    <row r="17" spans="1:10" x14ac:dyDescent="0.25">
      <c r="A17" s="7" t="s">
        <v>653</v>
      </c>
      <c r="B17" s="26">
        <f>BS!B10/(Consolidated_PL!B6/365)</f>
        <v>124.89943721745549</v>
      </c>
      <c r="C17" s="26">
        <f>BS!C10/(Consolidated_PL!C6/365)</f>
        <v>124.5181228325316</v>
      </c>
      <c r="D17" s="26">
        <f>BS!D10/(Consolidated_PL!D6/365)</f>
        <v>122.99350310342828</v>
      </c>
      <c r="F17" s="26">
        <f>BS!F10/(Consolidated_PL!F6/365)</f>
        <v>124.99999999999999</v>
      </c>
      <c r="G17" s="26">
        <f>BS!G10/(Consolidated_PL!G6/365)</f>
        <v>125</v>
      </c>
      <c r="H17" s="26">
        <f>BS!H10/(Consolidated_PL!H6/365)</f>
        <v>124.99999999999999</v>
      </c>
    </row>
    <row r="18" spans="1:10" x14ac:dyDescent="0.25">
      <c r="A18" s="7" t="s">
        <v>517</v>
      </c>
      <c r="B18" s="32">
        <f>Cash_Flow!B24/Consolidated_PL!B5</f>
        <v>-0.4748469425389098</v>
      </c>
      <c r="C18" s="32">
        <f>Cash_Flow!C24/Consolidated_PL!C5</f>
        <v>-0.4730984350577202</v>
      </c>
      <c r="D18" s="32">
        <f>Cash_Flow!D24/Consolidated_PL!D5</f>
        <v>-0.33436134183490057</v>
      </c>
      <c r="F18" s="32">
        <f>Cash_Flow!F24/Consolidated_PL!F5</f>
        <v>-0.32386737905291663</v>
      </c>
      <c r="G18" s="32">
        <f>Cash_Flow!G24/Consolidated_PL!G5</f>
        <v>-0.31552504581180951</v>
      </c>
      <c r="H18" s="32">
        <f>Cash_Flow!H24/Consolidated_PL!H5</f>
        <v>-0.31044927924025673</v>
      </c>
    </row>
    <row r="19" spans="1:10" x14ac:dyDescent="0.25">
      <c r="A19" s="7" t="s">
        <v>654</v>
      </c>
      <c r="B19" s="63">
        <f>-Cash_Flow!B24/Consolidated_PL!B32</f>
        <v>3.2815088568879829</v>
      </c>
      <c r="C19" s="63">
        <f>-Cash_Flow!C24/Consolidated_PL!C32</f>
        <v>2.5245703949351825</v>
      </c>
      <c r="D19" s="63">
        <f>-Cash_Flow!D24/Consolidated_PL!D32</f>
        <v>1.6428372222738681</v>
      </c>
      <c r="F19" s="63">
        <f>-Cash_Flow!F24/Consolidated_PL!F32</f>
        <v>1.4159999999999999</v>
      </c>
      <c r="G19" s="63">
        <f>-Cash_Flow!G24/Consolidated_PL!G32</f>
        <v>1.4772727272727273</v>
      </c>
      <c r="H19" s="63">
        <f>-Cash_Flow!H24/Consolidated_PL!H32</f>
        <v>1.5217391304347827</v>
      </c>
    </row>
    <row r="21" spans="1:10" ht="15" x14ac:dyDescent="0.35">
      <c r="A21" s="9" t="s">
        <v>655</v>
      </c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A22" s="7" t="s">
        <v>656</v>
      </c>
      <c r="B22" s="32">
        <f>(BS!B34+BS!B28)/BS!B21</f>
        <v>0.25716701814461401</v>
      </c>
      <c r="C22" s="32">
        <f>(BS!C34+BS!C28)/BS!C21</f>
        <v>0.25452833549634835</v>
      </c>
      <c r="D22" s="32">
        <f>(BS!D34+BS!D28)/BS!D21</f>
        <v>0.22033401283646048</v>
      </c>
      <c r="F22" s="32">
        <f>(BS!F34+BS!F28)/BS!F21</f>
        <v>0.22786072881840969</v>
      </c>
      <c r="G22" s="32">
        <f>(BS!G34+BS!G28)/BS!G21</f>
        <v>0.20876740437513777</v>
      </c>
      <c r="H22" s="32">
        <f>(BS!H34+BS!H28)/BS!H21</f>
        <v>0.19266051320822972</v>
      </c>
    </row>
    <row r="23" spans="1:10" x14ac:dyDescent="0.25">
      <c r="A23" s="7" t="s">
        <v>657</v>
      </c>
      <c r="B23" s="63">
        <f>(BS!B34+BS!B28)/BS!B40</f>
        <v>0.46657827445780853</v>
      </c>
      <c r="C23" s="63">
        <f>(BS!C34+BS!C28)/BS!C40</f>
        <v>0.50378764984386015</v>
      </c>
      <c r="D23" s="63">
        <f>(BS!D34+BS!D28)/BS!D40</f>
        <v>0.40763556496705489</v>
      </c>
      <c r="F23" s="63">
        <f>(BS!F34+BS!F28)/BS!F40</f>
        <v>0.4197804168836437</v>
      </c>
      <c r="G23" s="63">
        <f>(BS!G34+BS!G28)/BS!G40</f>
        <v>0.37742648189637323</v>
      </c>
      <c r="H23" s="63">
        <f>(BS!H34+BS!H28)/BS!H40</f>
        <v>0.33907520369808841</v>
      </c>
    </row>
    <row r="24" spans="1:10" x14ac:dyDescent="0.25">
      <c r="A24" s="7" t="s">
        <v>658</v>
      </c>
      <c r="B24" s="63">
        <f>BS!B12/BS!B31</f>
        <v>1.5424018821516416</v>
      </c>
      <c r="C24" s="63">
        <f>BS!C12/BS!C31</f>
        <v>1.3268659227275277</v>
      </c>
      <c r="D24" s="63">
        <f>BS!D12/BS!D31</f>
        <v>2.0170387965162311</v>
      </c>
      <c r="F24" s="63">
        <f>BS!F12/BS!F31</f>
        <v>2.272683374302066</v>
      </c>
      <c r="G24" s="63">
        <f>BS!G12/BS!G31</f>
        <v>2.1458400246071023</v>
      </c>
      <c r="H24" s="63">
        <f>BS!H12/BS!H31</f>
        <v>2.1647016016763025</v>
      </c>
    </row>
    <row r="25" spans="1:10" x14ac:dyDescent="0.25">
      <c r="A25" s="7" t="s">
        <v>659</v>
      </c>
      <c r="B25" s="42">
        <f>BS!B7+BS!B8-BS!B34-BS!B28</f>
        <v>-24232</v>
      </c>
      <c r="C25" s="42">
        <f>BS!C7+BS!C8-BS!C34-BS!C28</f>
        <v>-27949</v>
      </c>
      <c r="D25" s="42">
        <f>BS!D7+BS!D8-BS!D34-BS!D28</f>
        <v>-9169</v>
      </c>
      <c r="F25" s="42">
        <f>BS!F7+BS!F8-BS!F34-BS!F28</f>
        <v>-4111.7367890410824</v>
      </c>
      <c r="G25" s="42">
        <f>BS!G7+BS!G8-BS!G34-BS!G28</f>
        <v>-1299.6645372945204</v>
      </c>
      <c r="H25" s="42">
        <f>BS!H7+BS!H8-BS!H34-BS!H28</f>
        <v>3995.5907547602765</v>
      </c>
    </row>
    <row r="27" spans="1:10" ht="15" x14ac:dyDescent="0.35">
      <c r="A27" s="9" t="s">
        <v>660</v>
      </c>
      <c r="B27" s="10"/>
      <c r="C27" s="10"/>
      <c r="D27" s="10"/>
      <c r="E27" s="10"/>
      <c r="F27" s="10"/>
      <c r="G27" s="10"/>
      <c r="H27" s="10"/>
      <c r="I27" s="10"/>
      <c r="J27" s="10"/>
    </row>
    <row r="28" spans="1:10" x14ac:dyDescent="0.25">
      <c r="A28" s="7" t="s">
        <v>661</v>
      </c>
      <c r="B28" s="63">
        <f>Cash_Flow!B21/Consolidated_PL!B26</f>
        <v>6.8914893617021278</v>
      </c>
      <c r="C28" s="63">
        <f>Cash_Flow!C21/Consolidated_PL!C26</f>
        <v>0.26326552013422821</v>
      </c>
      <c r="D28" s="63">
        <f>Cash_Flow!D21/Consolidated_PL!D26</f>
        <v>-16.344013490725125</v>
      </c>
      <c r="F28" s="63">
        <f>Cash_Flow!F21/Consolidated_PL!F26</f>
        <v>10.719851614744005</v>
      </c>
      <c r="G28" s="63">
        <f>Cash_Flow!G21/Consolidated_PL!G26</f>
        <v>4.4312251611960045</v>
      </c>
      <c r="H28" s="63">
        <f>Cash_Flow!H21/Consolidated_PL!H26</f>
        <v>3.106425249478669</v>
      </c>
    </row>
    <row r="29" spans="1:10" x14ac:dyDescent="0.25">
      <c r="A29" s="7" t="s">
        <v>523</v>
      </c>
      <c r="B29" s="32">
        <f>Cash_Flow!B28/Consolidated_PL!B5</f>
        <v>-0.20742052076418085</v>
      </c>
      <c r="C29" s="32">
        <f>Cash_Flow!C28/Consolidated_PL!C5</f>
        <v>-0.5378806425491045</v>
      </c>
      <c r="D29" s="32">
        <f>Cash_Flow!D28/Consolidated_PL!D5</f>
        <v>-0.17321627911376838</v>
      </c>
      <c r="F29" s="32">
        <f>Cash_Flow!F28/Consolidated_PL!F5</f>
        <v>-1.2425835999434426E-2</v>
      </c>
      <c r="G29" s="32">
        <f>Cash_Flow!G28/Consolidated_PL!G5</f>
        <v>7.4431423895708101E-2</v>
      </c>
      <c r="H29" s="32">
        <f>Cash_Flow!H28/Consolidated_PL!H5</f>
        <v>9.8526892920940315E-2</v>
      </c>
    </row>
    <row r="30" spans="1:10" x14ac:dyDescent="0.25">
      <c r="A30" s="7" t="s">
        <v>662</v>
      </c>
      <c r="B30" s="63">
        <f>Cash_Flow!B28/Consolidated_PL!B26</f>
        <v>-5.9829787234042557</v>
      </c>
      <c r="C30" s="63">
        <f>Cash_Flow!C28/Consolidated_PL!C26</f>
        <v>1.497588087248322</v>
      </c>
      <c r="D30" s="63">
        <f>Cash_Flow!D28/Consolidated_PL!D26</f>
        <v>15.438448566610456</v>
      </c>
      <c r="F30" s="63">
        <f>Cash_Flow!F28/Consolidated_PL!F26</f>
        <v>-0.42769861977021817</v>
      </c>
      <c r="G30" s="63">
        <f>Cash_Flow!G28/Consolidated_PL!G26</f>
        <v>0.84579286143832111</v>
      </c>
      <c r="H30" s="63">
        <f>Cash_Flow!H28/Consolidated_PL!H26</f>
        <v>0.74837227387823158</v>
      </c>
    </row>
    <row r="32" spans="1:10" ht="15" x14ac:dyDescent="0.35">
      <c r="A32" s="9" t="s">
        <v>663</v>
      </c>
      <c r="B32" s="10"/>
      <c r="C32" s="10"/>
      <c r="D32" s="10"/>
      <c r="E32" s="10"/>
      <c r="F32" s="10"/>
      <c r="G32" s="10"/>
      <c r="H32" s="10"/>
      <c r="I32" s="10"/>
      <c r="J32" s="10"/>
    </row>
    <row r="33" spans="1:11" x14ac:dyDescent="0.25">
      <c r="A33" s="7" t="s">
        <v>664</v>
      </c>
      <c r="B33" s="41" t="s">
        <v>665</v>
      </c>
      <c r="C33" s="14">
        <f>Consolidated_PL!C5/Consolidated_PL!B5-1</f>
        <v>-2.0782621523935951E-2</v>
      </c>
      <c r="D33" s="14">
        <f>Consolidated_PL!D5/Consolidated_PL!C5-1</f>
        <v>-4.6703451912393223E-3</v>
      </c>
      <c r="F33" s="14">
        <f>Consolidated_PL!F5/Consolidated_PL!D5-1</f>
        <v>3.4037802962934904E-2</v>
      </c>
      <c r="G33" s="14">
        <f>Consolidated_PL!G5/Consolidated_PL!F5-1</f>
        <v>0.13082320866573949</v>
      </c>
      <c r="H33" s="14">
        <f>Consolidated_PL!H5/Consolidated_PL!G5-1</f>
        <v>9.4530494686638988E-2</v>
      </c>
    </row>
    <row r="34" spans="1:11" x14ac:dyDescent="0.25">
      <c r="A34" s="7" t="s">
        <v>666</v>
      </c>
      <c r="B34" s="41" t="s">
        <v>665</v>
      </c>
      <c r="C34" s="14">
        <f>Consolidated_PL!C29/Consolidated_PL!B29-1</f>
        <v>-10.817845828933475</v>
      </c>
      <c r="D34" s="14">
        <f>Consolidated_PL!D29/Consolidated_PL!C29-1</f>
        <v>-0.95235278300618442</v>
      </c>
      <c r="F34" s="14">
        <f>Consolidated_PL!F29/Consolidated_PL!D29-1</f>
        <v>-1.9455900677200906</v>
      </c>
      <c r="G34" s="14">
        <f>Consolidated_PL!G29/Consolidated_PL!F29-1</f>
        <v>4.178696591209663</v>
      </c>
      <c r="H34" s="14">
        <f>Consolidated_PL!H29/Consolidated_PL!G29-1</f>
        <v>0.79908678300218727</v>
      </c>
    </row>
    <row r="35" spans="1:11" x14ac:dyDescent="0.25">
      <c r="A35" s="7" t="s">
        <v>667</v>
      </c>
      <c r="B35" s="41" t="s">
        <v>665</v>
      </c>
      <c r="C35" s="14">
        <f>Consolidated_PL!C35/Consolidated_PL!B35-1</f>
        <v>-10.661861362492475</v>
      </c>
      <c r="D35" s="14">
        <f>Consolidated_PL!D35/Consolidated_PL!C35-1</f>
        <v>-0.954982320367874</v>
      </c>
      <c r="F35" s="14">
        <f>Consolidated_PL!F35/Consolidated_PL!D35-1</f>
        <v>-1.8399064719160807</v>
      </c>
      <c r="G35" s="14">
        <f>Consolidated_PL!G35/Consolidated_PL!F35-1</f>
        <v>4.0987167210751503</v>
      </c>
      <c r="H35" s="14">
        <f>Consolidated_PL!H35/Consolidated_PL!G35-1</f>
        <v>0.77509895922882466</v>
      </c>
    </row>
    <row r="37" spans="1:11" ht="15" x14ac:dyDescent="0.35">
      <c r="A37" s="9" t="s">
        <v>668</v>
      </c>
      <c r="B37" s="10"/>
      <c r="C37" s="10"/>
      <c r="D37" s="10"/>
      <c r="E37" s="10"/>
      <c r="F37" s="10"/>
      <c r="G37" s="10"/>
      <c r="H37" s="10"/>
      <c r="I37" s="10"/>
      <c r="J37" s="10"/>
    </row>
    <row r="38" spans="1:11" x14ac:dyDescent="0.25">
      <c r="A38" s="18" t="s">
        <v>669</v>
      </c>
      <c r="B38" s="10"/>
      <c r="C38" s="10"/>
      <c r="D38" s="10"/>
      <c r="F38" s="64">
        <v>113</v>
      </c>
      <c r="G38" s="10"/>
      <c r="H38" s="10"/>
      <c r="K38" s="20" t="s">
        <v>670</v>
      </c>
    </row>
    <row r="40" spans="1:11" ht="15" x14ac:dyDescent="0.35">
      <c r="A40" s="9" t="s">
        <v>671</v>
      </c>
      <c r="B40" s="10"/>
      <c r="C40" s="10"/>
      <c r="D40" s="10"/>
      <c r="E40" s="10"/>
      <c r="F40" s="10"/>
      <c r="G40" s="10"/>
      <c r="H40" s="10"/>
      <c r="I40" s="10"/>
      <c r="J40" s="10"/>
    </row>
    <row r="41" spans="1:11" x14ac:dyDescent="0.25">
      <c r="A41" s="7" t="s">
        <v>672</v>
      </c>
      <c r="B41" s="10"/>
      <c r="C41" s="10"/>
      <c r="D41" s="65">
        <f>F38/Consolidated_PL!D35</f>
        <v>-577.75395033860048</v>
      </c>
      <c r="F41" s="10"/>
      <c r="G41" s="10"/>
      <c r="H41" s="10"/>
      <c r="K41" s="20" t="s">
        <v>673</v>
      </c>
    </row>
    <row r="42" spans="1:11" x14ac:dyDescent="0.25">
      <c r="A42" s="7" t="s">
        <v>674</v>
      </c>
      <c r="B42" s="10"/>
      <c r="C42" s="10"/>
      <c r="D42" s="65">
        <f>F38/(BS!D40/Consolidated_PL!D34)</f>
        <v>4.4792222679185514</v>
      </c>
      <c r="F42" s="10"/>
      <c r="G42" s="10"/>
      <c r="H42" s="10"/>
      <c r="K42" s="20" t="s">
        <v>675</v>
      </c>
    </row>
    <row r="43" spans="1:11" x14ac:dyDescent="0.25">
      <c r="A43" s="7" t="s">
        <v>676</v>
      </c>
      <c r="B43" s="10"/>
      <c r="C43" s="10"/>
      <c r="D43" s="65">
        <f>F38/(Consolidated_PL!D5/Consolidated_PL!D34)</f>
        <v>9.6851645128942536</v>
      </c>
      <c r="F43" s="10"/>
      <c r="G43" s="10"/>
      <c r="H43" s="10"/>
      <c r="K43" s="20" t="s">
        <v>677</v>
      </c>
    </row>
    <row r="44" spans="1:11" x14ac:dyDescent="0.25">
      <c r="A44" s="7" t="s">
        <v>678</v>
      </c>
      <c r="B44" s="10"/>
      <c r="C44" s="10"/>
      <c r="D44" s="65">
        <f>(F38*Consolidated_PL!D34+BS!D28+BS!D34-BS!D7-BS!D8)/(Consolidated_PL!D17+Consolidated_PL!D32)</f>
        <v>65.757067137809187</v>
      </c>
      <c r="F44" s="10"/>
      <c r="G44" s="10"/>
      <c r="H44" s="10"/>
      <c r="K44" s="20" t="s">
        <v>679</v>
      </c>
    </row>
    <row r="45" spans="1:11" x14ac:dyDescent="0.25">
      <c r="A45" s="7" t="s">
        <v>680</v>
      </c>
      <c r="B45" s="10"/>
      <c r="C45" s="10"/>
      <c r="D45" s="65">
        <f>(F38*Consolidated_PL!D34+BS!D28+BS!D34-BS!D7-BS!D8)/Consolidated_PL!D5</f>
        <v>9.8586456776341933</v>
      </c>
      <c r="F45" s="10"/>
      <c r="G45" s="10"/>
      <c r="H45" s="10"/>
      <c r="K45" s="20" t="s">
        <v>681</v>
      </c>
    </row>
    <row r="46" spans="1:11" x14ac:dyDescent="0.25">
      <c r="A46" s="7" t="s">
        <v>682</v>
      </c>
      <c r="B46" s="10"/>
      <c r="C46" s="10"/>
      <c r="D46" s="65">
        <f>F38/(Cash_Flow!D21/Consolidated_PL!D34)</f>
        <v>52.815724308708212</v>
      </c>
      <c r="F46" s="10"/>
      <c r="G46" s="10"/>
      <c r="H46" s="10"/>
      <c r="K46" s="20" t="s">
        <v>683</v>
      </c>
    </row>
    <row r="47" spans="1:11" x14ac:dyDescent="0.25">
      <c r="A47" s="7" t="s">
        <v>684</v>
      </c>
      <c r="B47" s="10"/>
      <c r="C47" s="10"/>
      <c r="D47" s="66">
        <f>(F38/Consolidated_PL!D35)/((Consolidated_PL!D35/Consolidated_PL!C35-1)*100)</f>
        <v>6.0498915845482948</v>
      </c>
      <c r="F47" s="10"/>
      <c r="G47" s="10"/>
      <c r="H47" s="10"/>
      <c r="K47" s="20" t="s">
        <v>685</v>
      </c>
    </row>
    <row r="48" spans="1:11" x14ac:dyDescent="0.25">
      <c r="A48" s="7" t="s">
        <v>686</v>
      </c>
      <c r="B48" s="10"/>
      <c r="C48" s="10"/>
      <c r="D48" s="67">
        <f>Assumptions!P209/F38</f>
        <v>0</v>
      </c>
      <c r="F48" s="10"/>
      <c r="G48" s="10"/>
      <c r="H48" s="10"/>
      <c r="K48" s="20" t="s">
        <v>687</v>
      </c>
    </row>
    <row r="50" spans="1:11" ht="15" x14ac:dyDescent="0.35">
      <c r="A50" s="9" t="s">
        <v>688</v>
      </c>
      <c r="B50" s="10"/>
      <c r="C50" s="10"/>
      <c r="D50" s="10"/>
      <c r="E50" s="10"/>
      <c r="F50" s="10"/>
      <c r="G50" s="10"/>
      <c r="H50" s="10"/>
      <c r="I50" s="10"/>
      <c r="J50" s="10"/>
    </row>
    <row r="51" spans="1:11" x14ac:dyDescent="0.25">
      <c r="A51" s="7" t="s">
        <v>672</v>
      </c>
      <c r="B51" s="10"/>
      <c r="C51" s="10"/>
      <c r="D51" s="10"/>
      <c r="F51" s="65">
        <f>F38/Consolidated_PL!F35</f>
        <v>687.87891230385333</v>
      </c>
      <c r="G51" s="10"/>
      <c r="H51" s="10"/>
      <c r="K51" s="20" t="s">
        <v>689</v>
      </c>
    </row>
    <row r="52" spans="1:11" x14ac:dyDescent="0.25">
      <c r="A52" s="7" t="s">
        <v>674</v>
      </c>
      <c r="B52" s="10"/>
      <c r="C52" s="10"/>
      <c r="D52" s="10"/>
      <c r="F52" s="65">
        <f>F38/(BS!F40/Consolidated_PL!F34)</f>
        <v>4.887261702021088</v>
      </c>
      <c r="G52" s="10"/>
      <c r="H52" s="10"/>
      <c r="K52" s="20" t="s">
        <v>690</v>
      </c>
    </row>
    <row r="53" spans="1:11" x14ac:dyDescent="0.25">
      <c r="A53" s="7" t="s">
        <v>676</v>
      </c>
      <c r="B53" s="10"/>
      <c r="C53" s="10"/>
      <c r="D53" s="10"/>
      <c r="F53" s="65">
        <f>F38/(Consolidated_PL!F5/Consolidated_PL!F34)</f>
        <v>10.544902290858522</v>
      </c>
      <c r="G53" s="10"/>
      <c r="H53" s="10"/>
      <c r="K53" s="20" t="s">
        <v>691</v>
      </c>
    </row>
    <row r="54" spans="1:11" x14ac:dyDescent="0.25">
      <c r="A54" s="7" t="s">
        <v>678</v>
      </c>
      <c r="B54" s="10"/>
      <c r="C54" s="10"/>
      <c r="D54" s="10"/>
      <c r="F54" s="65">
        <f>(F38*Consolidated_PL!F34+BS!F28+BS!F34-BS!F7-BS!F8)/(Consolidated_PL!F17+Consolidated_PL!F32)</f>
        <v>38.426895157014194</v>
      </c>
      <c r="G54" s="10"/>
      <c r="H54" s="10"/>
      <c r="K54" s="20" t="s">
        <v>692</v>
      </c>
    </row>
    <row r="55" spans="1:11" x14ac:dyDescent="0.25">
      <c r="A55" s="7" t="s">
        <v>680</v>
      </c>
      <c r="B55" s="10"/>
      <c r="C55" s="10"/>
      <c r="D55" s="10"/>
      <c r="F55" s="65">
        <f>(F38*Consolidated_PL!F34+BS!F28+BS!F34-BS!F7-BS!F8)/Consolidated_PL!F5</f>
        <v>10.620137173187461</v>
      </c>
      <c r="G55" s="10"/>
      <c r="H55" s="10"/>
      <c r="K55" s="20" t="s">
        <v>693</v>
      </c>
    </row>
    <row r="56" spans="1:11" x14ac:dyDescent="0.25">
      <c r="A56" s="7" t="s">
        <v>682</v>
      </c>
      <c r="B56" s="10"/>
      <c r="C56" s="10"/>
      <c r="D56" s="10"/>
      <c r="F56" s="65">
        <f>F38/(Cash_Flow!F21/Consolidated_PL!F34)</f>
        <v>33.85836772921364</v>
      </c>
      <c r="G56" s="10"/>
      <c r="H56" s="10"/>
      <c r="K56" s="20" t="s">
        <v>694</v>
      </c>
    </row>
    <row r="57" spans="1:11" x14ac:dyDescent="0.25">
      <c r="A57" s="7" t="s">
        <v>684</v>
      </c>
      <c r="B57" s="10"/>
      <c r="C57" s="10"/>
      <c r="D57" s="10"/>
      <c r="F57" s="66">
        <f>(F38/Consolidated_PL!F35)/((Consolidated_PL!F35/Consolidated_PL!D35-1)*100)</f>
        <v>-3.738662387482639</v>
      </c>
      <c r="G57" s="10"/>
      <c r="H57" s="10"/>
      <c r="K57" s="20" t="s">
        <v>695</v>
      </c>
    </row>
    <row r="58" spans="1:11" x14ac:dyDescent="0.25">
      <c r="A58" s="7" t="s">
        <v>686</v>
      </c>
      <c r="B58" s="10"/>
      <c r="C58" s="10"/>
      <c r="D58" s="10"/>
      <c r="F58" s="67">
        <f>Assumptions!V209/F38</f>
        <v>0</v>
      </c>
      <c r="G58" s="10"/>
      <c r="H58" s="10"/>
      <c r="K58" s="20" t="s">
        <v>696</v>
      </c>
    </row>
    <row r="60" spans="1:11" x14ac:dyDescent="0.25">
      <c r="A60" s="7" t="s">
        <v>101</v>
      </c>
    </row>
    <row r="61" spans="1:11" ht="14.5" x14ac:dyDescent="0.3">
      <c r="A61" s="76" t="s">
        <v>102</v>
      </c>
      <c r="B61" s="69"/>
      <c r="C61" s="69"/>
      <c r="D61" s="69"/>
      <c r="E61" s="69"/>
      <c r="F61" s="69"/>
    </row>
    <row r="62" spans="1:11" ht="14.5" x14ac:dyDescent="0.3">
      <c r="A62" s="80" t="s">
        <v>103</v>
      </c>
      <c r="B62" s="69"/>
      <c r="C62" s="69"/>
      <c r="D62" s="69"/>
      <c r="E62" s="69"/>
      <c r="F62" s="69"/>
    </row>
    <row r="63" spans="1:11" ht="14.5" x14ac:dyDescent="0.3">
      <c r="A63" s="79" t="s">
        <v>104</v>
      </c>
      <c r="B63" s="69"/>
      <c r="C63" s="69"/>
      <c r="D63" s="69"/>
      <c r="E63" s="69"/>
      <c r="F63" s="69"/>
    </row>
    <row r="64" spans="1:11" ht="14.5" x14ac:dyDescent="0.3">
      <c r="A64" s="77" t="s">
        <v>105</v>
      </c>
      <c r="B64" s="69"/>
      <c r="C64" s="69"/>
      <c r="D64" s="69"/>
      <c r="E64" s="69"/>
      <c r="F64" s="69"/>
    </row>
    <row r="65" spans="1:6" ht="14.5" x14ac:dyDescent="0.3">
      <c r="A65" s="77" t="s">
        <v>106</v>
      </c>
      <c r="B65" s="69"/>
      <c r="C65" s="69"/>
      <c r="D65" s="69"/>
      <c r="E65" s="69"/>
      <c r="F65" s="69"/>
    </row>
    <row r="66" spans="1:6" x14ac:dyDescent="0.25">
      <c r="A66" s="69" t="s">
        <v>107</v>
      </c>
      <c r="B66" s="69"/>
      <c r="C66" s="69"/>
      <c r="D66" s="69"/>
      <c r="E66" s="69"/>
      <c r="F66" s="69"/>
    </row>
    <row r="68" spans="1:6" x14ac:dyDescent="0.25">
      <c r="A68" s="7" t="s">
        <v>108</v>
      </c>
    </row>
    <row r="69" spans="1:6" ht="14.5" x14ac:dyDescent="0.3">
      <c r="A69" s="74" t="s">
        <v>109</v>
      </c>
      <c r="B69" s="69"/>
      <c r="C69" s="69"/>
      <c r="D69" s="69"/>
      <c r="E69" s="69"/>
      <c r="F69" s="69"/>
    </row>
    <row r="70" spans="1:6" ht="14.5" x14ac:dyDescent="0.3">
      <c r="A70" s="74" t="s">
        <v>110</v>
      </c>
      <c r="B70" s="69"/>
      <c r="C70" s="69"/>
      <c r="D70" s="69"/>
      <c r="E70" s="69"/>
      <c r="F70" s="69"/>
    </row>
    <row r="71" spans="1:6" ht="14.5" x14ac:dyDescent="0.3">
      <c r="A71" s="74" t="s">
        <v>111</v>
      </c>
      <c r="B71" s="69"/>
      <c r="C71" s="69"/>
      <c r="D71" s="69"/>
      <c r="E71" s="69"/>
      <c r="F71" s="69"/>
    </row>
    <row r="72" spans="1:6" ht="14.5" x14ac:dyDescent="0.3">
      <c r="A72" s="74" t="s">
        <v>112</v>
      </c>
      <c r="B72" s="69"/>
      <c r="C72" s="69"/>
      <c r="D72" s="69"/>
      <c r="E72" s="69"/>
      <c r="F72" s="69"/>
    </row>
    <row r="73" spans="1:6" ht="14.5" x14ac:dyDescent="0.3">
      <c r="A73" s="74" t="s">
        <v>113</v>
      </c>
      <c r="B73" s="69"/>
      <c r="C73" s="69"/>
      <c r="D73" s="69"/>
      <c r="E73" s="69"/>
      <c r="F73" s="69"/>
    </row>
  </sheetData>
  <mergeCells count="13">
    <mergeCell ref="A73:F73"/>
    <mergeCell ref="A71:F71"/>
    <mergeCell ref="A1:J1"/>
    <mergeCell ref="A63:F63"/>
    <mergeCell ref="A66:F66"/>
    <mergeCell ref="A2:J2"/>
    <mergeCell ref="A70:F70"/>
    <mergeCell ref="A61:F61"/>
    <mergeCell ref="A62:F62"/>
    <mergeCell ref="A72:F72"/>
    <mergeCell ref="A69:F69"/>
    <mergeCell ref="A64:F64"/>
    <mergeCell ref="A65:F65"/>
  </mergeCells>
  <phoneticPr fontId="2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Cover</vt:lpstr>
      <vt:lpstr>Key_Summary</vt:lpstr>
      <vt:lpstr>Assumptions</vt:lpstr>
      <vt:lpstr>Growth_Drivers</vt:lpstr>
      <vt:lpstr>Segment_PL</vt:lpstr>
      <vt:lpstr>Consolidated_PL</vt:lpstr>
      <vt:lpstr>BS</vt:lpstr>
      <vt:lpstr>Cash_Flow</vt:lpstr>
      <vt:lpstr>DCF</vt:lpstr>
      <vt:lpstr>Sensitivity</vt:lpstr>
      <vt:lpstr>Ratio_Analysis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10352728</cp:lastModifiedBy>
  <dcterms:created xsi:type="dcterms:W3CDTF">2026-05-08T11:06:55Z</dcterms:created>
  <dcterms:modified xsi:type="dcterms:W3CDTF">2026-05-08T14:41:03Z</dcterms:modified>
</cp:coreProperties>
</file>